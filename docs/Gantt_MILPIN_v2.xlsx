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agrama de Gantt" sheetId="1" state="visible" r:id="rId1"/>
    <sheet xmlns:r="http://schemas.openxmlformats.org/officeDocument/2006/relationships" name="Hoj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&quot;/&quot;mm&quot;/&quot;yy"/>
    <numFmt numFmtId="165" formatCode="&quot;$&quot;#,##0.00"/>
    <numFmt numFmtId="166" formatCode="d.m"/>
    <numFmt numFmtId="167" formatCode="0 %"/>
  </numFmts>
  <fonts count="34">
    <font>
      <name val="Arial"/>
      <color rgb="FF000000"/>
      <sz val="10"/>
    </font>
    <font>
      <name val="Poppins"/>
      <sz val="11"/>
    </font>
    <font>
      <name val="Poppins"/>
      <b val="1"/>
      <color rgb="FF0B5394"/>
      <sz val="30"/>
    </font>
    <font>
      <name val="Poppins"/>
      <b val="1"/>
      <color rgb="FF0B5394"/>
      <sz val="11"/>
    </font>
    <font>
      <name val="Poppins"/>
    </font>
    <font>
      <name val="Poppins"/>
      <color rgb="FF000000"/>
      <sz val="11"/>
    </font>
    <font>
      <name val="Poppins"/>
      <color rgb="FFFFFFFF"/>
      <sz val="11"/>
    </font>
    <font>
      <name val="Roboto"/>
      <b val="1"/>
      <color rgb="FF0B5394"/>
      <sz val="30"/>
    </font>
    <font/>
    <font>
      <name val="Roboto"/>
      <b val="1"/>
      <color rgb="FF0B5394"/>
      <sz val="12"/>
    </font>
    <font>
      <name val="Roboto"/>
      <color rgb="FF0B5394"/>
      <sz val="12"/>
    </font>
    <font>
      <name val="Poppins"/>
      <color rgb="FF000000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sz val="11"/>
    </font>
    <font>
      <name val="Roboto"/>
      <b val="1"/>
      <color rgb="FF666666"/>
      <sz val="10"/>
    </font>
    <font>
      <name val="Roboto"/>
      <color rgb="FF999999"/>
      <sz val="10"/>
    </font>
    <font>
      <name val="Roboto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sz val="8"/>
    </font>
    <font>
      <name val="Roboto"/>
      <sz val="9"/>
    </font>
    <font>
      <name val="Roboto"/>
      <b val="1"/>
      <color rgb="FF000000"/>
      <sz val="9"/>
    </font>
    <font>
      <name val="Roboto"/>
      <b val="1"/>
      <color rgb="FF000000"/>
      <sz val="11"/>
    </font>
    <font>
      <name val="Roboto"/>
      <sz val="10"/>
    </font>
    <font>
      <name val="Roboto"/>
      <color rgb="FF434343"/>
      <sz val="10"/>
    </font>
    <font>
      <name val="Roboto"/>
      <b val="1"/>
      <color rgb="FF000000"/>
      <sz val="10"/>
    </font>
    <font>
      <name val="Arial"/>
    </font>
    <font>
      <name val="Arial"/>
      <b val="1"/>
      <color rgb="FFFFFFFF"/>
    </font>
    <font>
      <name val="Arial"/>
      <color rgb="FF1A1A1A"/>
    </font>
    <font>
      <name val="Arial"/>
      <color rgb="FF0B5394"/>
      <sz val="10"/>
    </font>
    <font>
      <name val="Arial"/>
      <color rgb="FF434343"/>
      <sz val="10"/>
    </font>
  </fonts>
  <fills count="3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F2F2F2"/>
        <bgColor rgb="FFF2F2F2"/>
      </patternFill>
    </fill>
    <fill>
      <patternFill patternType="solid">
        <fgColor rgb="00CCCC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45818E"/>
      </patternFill>
    </fill>
    <fill>
      <patternFill patternType="solid">
        <fgColor rgb="00D0E0E3"/>
      </patternFill>
    </fill>
    <fill>
      <patternFill patternType="solid">
        <fgColor rgb="00C65911"/>
      </patternFill>
    </fill>
    <fill>
      <patternFill patternType="solid">
        <fgColor rgb="00FCE5CD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5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CCCCCC"/>
      </right>
    </border>
  </borders>
  <cellStyleXfs count="1">
    <xf numFmtId="0" fontId="0" fillId="0" borderId="0"/>
  </cellStyleXfs>
  <cellXfs count="1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0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17" fillId="2" borderId="2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17" fillId="0" borderId="2" applyAlignment="1" pivotButton="0" quotePrefix="0" xfId="0">
      <alignment horizontal="left" vertical="center"/>
    </xf>
    <xf numFmtId="0" fontId="4" fillId="0" borderId="0" pivotButton="0" quotePrefix="0" xfId="0"/>
    <xf numFmtId="0" fontId="17" fillId="0" borderId="2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4" fontId="17" fillId="0" borderId="2" applyAlignment="1" pivotButton="0" quotePrefix="0" xfId="0">
      <alignment horizontal="left" vertical="center"/>
    </xf>
    <xf numFmtId="0" fontId="17" fillId="0" borderId="2" pivotButton="0" quotePrefix="0" xfId="0"/>
    <xf numFmtId="0" fontId="1" fillId="0" borderId="0" pivotButton="0" quotePrefix="0" xfId="0"/>
    <xf numFmtId="0" fontId="18" fillId="0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3" borderId="0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/>
    </xf>
    <xf numFmtId="0" fontId="21" fillId="5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center" vertical="center"/>
    </xf>
    <xf numFmtId="0" fontId="21" fillId="7" borderId="3" applyAlignment="1" pivotButton="0" quotePrefix="0" xfId="0">
      <alignment horizontal="center" vertical="center"/>
    </xf>
    <xf numFmtId="0" fontId="8" fillId="0" borderId="4" pivotButton="0" quotePrefix="0" xfId="0"/>
    <xf numFmtId="0" fontId="22" fillId="0" borderId="0" applyAlignment="1" pivotButton="0" quotePrefix="0" xfId="0">
      <alignment vertical="center"/>
    </xf>
    <xf numFmtId="0" fontId="21" fillId="8" borderId="5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21" fillId="9" borderId="5" applyAlignment="1" pivotButton="0" quotePrefix="0" xfId="0">
      <alignment horizontal="center" vertical="center"/>
    </xf>
    <xf numFmtId="0" fontId="21" fillId="10" borderId="5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4" fillId="12" borderId="8" applyAlignment="1" pivotButton="0" quotePrefix="0" xfId="0">
      <alignment horizontal="center" vertical="center"/>
    </xf>
    <xf numFmtId="0" fontId="24" fillId="13" borderId="8" applyAlignment="1" pivotButton="0" quotePrefix="0" xfId="0">
      <alignment horizontal="center" vertical="center"/>
    </xf>
    <xf numFmtId="0" fontId="24" fillId="14" borderId="8" applyAlignment="1" pivotButton="0" quotePrefix="0" xfId="0">
      <alignment horizontal="center" vertical="center"/>
    </xf>
    <xf numFmtId="0" fontId="24" fillId="15" borderId="8" applyAlignment="1" pivotButton="0" quotePrefix="0" xfId="0">
      <alignment horizontal="center" vertical="center"/>
    </xf>
    <xf numFmtId="0" fontId="25" fillId="16" borderId="9" applyAlignment="1" pivotButton="0" quotePrefix="0" xfId="0">
      <alignment horizontal="left" vertical="center" wrapText="1"/>
    </xf>
    <xf numFmtId="0" fontId="25" fillId="16" borderId="9" applyAlignment="1" pivotButton="0" quotePrefix="0" xfId="0">
      <alignment vertical="center"/>
    </xf>
    <xf numFmtId="0" fontId="25" fillId="16" borderId="9" applyAlignment="1" pivotButton="0" quotePrefix="0" xfId="0">
      <alignment vertical="center" wrapText="1"/>
    </xf>
    <xf numFmtId="0" fontId="25" fillId="16" borderId="0" applyAlignment="1" pivotButton="0" quotePrefix="0" xfId="0">
      <alignment horizontal="center" vertical="center"/>
    </xf>
    <xf numFmtId="165" fontId="25" fillId="16" borderId="0" applyAlignment="1" pivotButton="0" quotePrefix="0" xfId="0">
      <alignment horizontal="center" vertical="center"/>
    </xf>
    <xf numFmtId="3" fontId="25" fillId="16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166" fontId="27" fillId="0" borderId="10" applyAlignment="1" pivotButton="0" quotePrefix="0" xfId="0">
      <alignment horizontal="left" vertical="center" wrapText="1"/>
    </xf>
    <xf numFmtId="0" fontId="27" fillId="0" borderId="10" applyAlignment="1" pivotButton="0" quotePrefix="0" xfId="0">
      <alignment vertical="center" wrapText="1"/>
    </xf>
    <xf numFmtId="164" fontId="27" fillId="0" borderId="10" applyAlignment="1" pivotButton="0" quotePrefix="0" xfId="0">
      <alignment horizontal="left" vertical="center" wrapText="1"/>
    </xf>
    <xf numFmtId="0" fontId="27" fillId="0" borderId="10" applyAlignment="1" pivotButton="0" quotePrefix="0" xfId="0">
      <alignment horizontal="center" vertical="center" wrapText="1"/>
    </xf>
    <xf numFmtId="167" fontId="27" fillId="0" borderId="10" applyAlignment="1" pivotButton="0" quotePrefix="0" xfId="0">
      <alignment horizontal="center" vertical="center" wrapText="1"/>
    </xf>
    <xf numFmtId="9" fontId="28" fillId="0" borderId="11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28" fillId="17" borderId="12" applyAlignment="1" pivotButton="0" quotePrefix="0" xfId="0">
      <alignment horizontal="center" vertical="center"/>
    </xf>
    <xf numFmtId="0" fontId="28" fillId="17" borderId="12" applyAlignment="1" pivotButton="0" quotePrefix="0" xfId="0">
      <alignment horizontal="center" vertical="center"/>
    </xf>
    <xf numFmtId="0" fontId="28" fillId="18" borderId="12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28" fillId="19" borderId="12" applyAlignment="1" pivotButton="0" quotePrefix="0" xfId="0">
      <alignment horizontal="center" vertical="center"/>
    </xf>
    <xf numFmtId="0" fontId="28" fillId="20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49" fontId="27" fillId="0" borderId="10" applyAlignment="1" pivotButton="0" quotePrefix="0" xfId="0">
      <alignment horizontal="left" vertical="center" wrapText="1"/>
    </xf>
    <xf numFmtId="9" fontId="28" fillId="0" borderId="14" applyAlignment="1" pivotButton="0" quotePrefix="0" xfId="0">
      <alignment horizontal="center" vertical="center"/>
    </xf>
    <xf numFmtId="165" fontId="28" fillId="0" borderId="15" applyAlignment="1" pivotButton="0" quotePrefix="0" xfId="0">
      <alignment horizontal="center" vertical="center"/>
    </xf>
    <xf numFmtId="0" fontId="28" fillId="0" borderId="15" applyAlignment="1" pivotButton="0" quotePrefix="0" xfId="0">
      <alignment horizontal="center" vertical="center"/>
    </xf>
    <xf numFmtId="0" fontId="28" fillId="0" borderId="15" applyAlignment="1" pivotButton="0" quotePrefix="0" xfId="0">
      <alignment horizontal="center" vertical="center"/>
    </xf>
    <xf numFmtId="0" fontId="28" fillId="18" borderId="15" applyAlignment="1" pivotButton="0" quotePrefix="0" xfId="0">
      <alignment horizontal="center" vertical="center"/>
    </xf>
    <xf numFmtId="0" fontId="28" fillId="18" borderId="15" applyAlignment="1" pivotButton="0" quotePrefix="0" xfId="0">
      <alignment horizontal="center" vertical="center"/>
    </xf>
    <xf numFmtId="0" fontId="28" fillId="17" borderId="15" applyAlignment="1" pivotButton="0" quotePrefix="0" xfId="0">
      <alignment horizontal="center" vertical="center"/>
    </xf>
    <xf numFmtId="0" fontId="28" fillId="19" borderId="15" applyAlignment="1" pivotButton="0" quotePrefix="0" xfId="0">
      <alignment horizontal="center" vertical="center"/>
    </xf>
    <xf numFmtId="0" fontId="28" fillId="20" borderId="15" applyAlignment="1" pivotButton="0" quotePrefix="0" xfId="0">
      <alignment horizontal="center" vertical="center"/>
    </xf>
    <xf numFmtId="0" fontId="28" fillId="21" borderId="15" applyAlignment="1" pivotButton="0" quotePrefix="0" xfId="0">
      <alignment horizontal="center" vertical="center"/>
    </xf>
    <xf numFmtId="0" fontId="28" fillId="0" borderId="16" applyAlignment="1" pivotButton="0" quotePrefix="0" xfId="0">
      <alignment horizontal="center" vertical="center"/>
    </xf>
    <xf numFmtId="167" fontId="27" fillId="22" borderId="1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center" vertical="center" wrapText="1"/>
    </xf>
    <xf numFmtId="167" fontId="27" fillId="0" borderId="0" applyAlignment="1" pivotButton="0" quotePrefix="0" xfId="0">
      <alignment horizontal="center" vertical="center" wrapText="1"/>
    </xf>
    <xf numFmtId="9" fontId="28" fillId="0" borderId="17" applyAlignment="1" pivotButton="0" quotePrefix="0" xfId="0">
      <alignment horizontal="center" vertical="center"/>
    </xf>
    <xf numFmtId="165" fontId="28" fillId="0" borderId="18" applyAlignment="1" pivotButton="0" quotePrefix="0" xfId="0">
      <alignment horizontal="center" vertical="center"/>
    </xf>
    <xf numFmtId="0" fontId="28" fillId="0" borderId="18" applyAlignment="1" pivotButton="0" quotePrefix="0" xfId="0">
      <alignment horizontal="center" vertical="center"/>
    </xf>
    <xf numFmtId="0" fontId="28" fillId="18" borderId="18" applyAlignment="1" pivotButton="0" quotePrefix="0" xfId="0">
      <alignment horizontal="center" vertical="center"/>
    </xf>
    <xf numFmtId="0" fontId="28" fillId="17" borderId="18" applyAlignment="1" pivotButton="0" quotePrefix="0" xfId="0">
      <alignment horizontal="center" vertical="center"/>
    </xf>
    <xf numFmtId="0" fontId="28" fillId="19" borderId="18" applyAlignment="1" pivotButton="0" quotePrefix="0" xfId="0">
      <alignment horizontal="center" vertical="center"/>
    </xf>
    <xf numFmtId="0" fontId="28" fillId="20" borderId="18" applyAlignment="1" pivotButton="0" quotePrefix="0" xfId="0">
      <alignment horizontal="center" vertical="center"/>
    </xf>
    <xf numFmtId="0" fontId="28" fillId="21" borderId="18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29" fillId="13" borderId="15" pivotButton="0" quotePrefix="0" xfId="0"/>
    <xf numFmtId="0" fontId="29" fillId="13" borderId="20" pivotButton="0" quotePrefix="0" xfId="0"/>
    <xf numFmtId="0" fontId="18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8" fillId="2" borderId="0" applyAlignment="1" pivotButton="0" quotePrefix="0" xfId="0">
      <alignment horizontal="left" vertical="top" wrapText="1"/>
    </xf>
    <xf numFmtId="0" fontId="8" fillId="23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32" fillId="2" borderId="2" applyAlignment="1" pivotButton="0" quotePrefix="0" xfId="0">
      <alignment vertical="center"/>
    </xf>
    <xf numFmtId="0" fontId="33" fillId="0" borderId="2" applyAlignment="1" pivotButton="0" quotePrefix="0" xfId="0">
      <alignment vertical="center"/>
    </xf>
    <xf numFmtId="0" fontId="21" fillId="7" borderId="24" applyAlignment="1" pivotButton="0" quotePrefix="0" xfId="0">
      <alignment horizontal="center" vertical="center"/>
    </xf>
    <xf numFmtId="0" fontId="0" fillId="0" borderId="4" pivotButton="0" quotePrefix="0" xfId="0"/>
    <xf numFmtId="0" fontId="21" fillId="8" borderId="2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1" fillId="9" borderId="21" applyAlignment="1" pivotButton="0" quotePrefix="0" xfId="0">
      <alignment horizontal="center" vertical="center"/>
    </xf>
    <xf numFmtId="0" fontId="21" fillId="10" borderId="21" applyAlignment="1" pivotButton="0" quotePrefix="0" xfId="0">
      <alignment horizontal="center" vertical="center"/>
    </xf>
    <xf numFmtId="0" fontId="21" fillId="11" borderId="21" applyAlignment="1" pivotButton="0" quotePrefix="0" xfId="0">
      <alignment horizontal="center" vertical="center"/>
    </xf>
    <xf numFmtId="0" fontId="25" fillId="24" borderId="0" applyAlignment="1" pivotButton="0" quotePrefix="0" xfId="0">
      <alignment horizontal="center" vertical="center"/>
    </xf>
    <xf numFmtId="165" fontId="25" fillId="24" borderId="0" applyAlignment="1" pivotButton="0" quotePrefix="0" xfId="0">
      <alignment horizontal="center" vertical="center"/>
    </xf>
    <xf numFmtId="3" fontId="25" fillId="24" borderId="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9" fontId="28" fillId="25" borderId="11" applyAlignment="1" pivotButton="0" quotePrefix="0" xfId="0">
      <alignment horizontal="center" vertical="center"/>
    </xf>
    <xf numFmtId="165" fontId="28" fillId="25" borderId="12" applyAlignment="1" pivotButton="0" quotePrefix="0" xfId="0">
      <alignment horizontal="center" vertical="center"/>
    </xf>
    <xf numFmtId="0" fontId="28" fillId="25" borderId="12" applyAlignment="1" pivotButton="0" quotePrefix="0" xfId="0">
      <alignment horizontal="center" vertical="center"/>
    </xf>
    <xf numFmtId="0" fontId="28" fillId="26" borderId="12" applyAlignment="1" pivotButton="0" quotePrefix="0" xfId="0">
      <alignment horizontal="center" vertical="center"/>
    </xf>
    <xf numFmtId="0" fontId="28" fillId="27" borderId="12" applyAlignment="1" pivotButton="0" quotePrefix="0" xfId="0">
      <alignment horizontal="center" vertical="center"/>
    </xf>
    <xf numFmtId="0" fontId="28" fillId="27" borderId="13" applyAlignment="1" pivotButton="0" quotePrefix="0" xfId="0">
      <alignment horizontal="center" vertical="center"/>
    </xf>
    <xf numFmtId="9" fontId="28" fillId="25" borderId="14" applyAlignment="1" pivotButton="0" quotePrefix="0" xfId="0">
      <alignment horizontal="center" vertical="center"/>
    </xf>
    <xf numFmtId="165" fontId="28" fillId="25" borderId="15" applyAlignment="1" pivotButton="0" quotePrefix="0" xfId="0">
      <alignment horizontal="center" vertical="center"/>
    </xf>
    <xf numFmtId="0" fontId="28" fillId="25" borderId="15" applyAlignment="1" pivotButton="0" quotePrefix="0" xfId="0">
      <alignment horizontal="center" vertical="center"/>
    </xf>
    <xf numFmtId="0" fontId="28" fillId="26" borderId="15" applyAlignment="1" pivotButton="0" quotePrefix="0" xfId="0">
      <alignment horizontal="center" vertical="center"/>
    </xf>
    <xf numFmtId="0" fontId="28" fillId="27" borderId="15" applyAlignment="1" pivotButton="0" quotePrefix="0" xfId="0">
      <alignment horizontal="center" vertical="center"/>
    </xf>
    <xf numFmtId="0" fontId="28" fillId="27" borderId="16" applyAlignment="1" pivotButton="0" quotePrefix="0" xfId="0">
      <alignment horizontal="center" vertical="center"/>
    </xf>
    <xf numFmtId="9" fontId="28" fillId="26" borderId="14" applyAlignment="1" pivotButton="0" quotePrefix="0" xfId="0">
      <alignment horizontal="center" vertical="center"/>
    </xf>
    <xf numFmtId="165" fontId="28" fillId="26" borderId="15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9" fontId="28" fillId="26" borderId="17" applyAlignment="1" pivotButton="0" quotePrefix="0" xfId="0">
      <alignment horizontal="center" vertical="center"/>
    </xf>
    <xf numFmtId="165" fontId="28" fillId="26" borderId="18" applyAlignment="1" pivotButton="0" quotePrefix="0" xfId="0">
      <alignment horizontal="center" vertical="center"/>
    </xf>
    <xf numFmtId="0" fontId="28" fillId="26" borderId="18" applyAlignment="1" pivotButton="0" quotePrefix="0" xfId="0">
      <alignment horizontal="center" vertical="center"/>
    </xf>
    <xf numFmtId="0" fontId="28" fillId="25" borderId="18" applyAlignment="1" pivotButton="0" quotePrefix="0" xfId="0">
      <alignment horizontal="center" vertical="center"/>
    </xf>
    <xf numFmtId="0" fontId="28" fillId="27" borderId="18" applyAlignment="1" pivotButton="0" quotePrefix="0" xfId="0">
      <alignment horizontal="center" vertical="center"/>
    </xf>
    <xf numFmtId="0" fontId="28" fillId="27" borderId="19" applyAlignment="1" pivotButton="0" quotePrefix="0" xfId="0">
      <alignment horizontal="center" vertical="center"/>
    </xf>
    <xf numFmtId="9" fontId="28" fillId="27" borderId="11" applyAlignment="1" pivotButton="0" quotePrefix="0" xfId="0">
      <alignment horizontal="center" vertical="center"/>
    </xf>
    <xf numFmtId="165" fontId="28" fillId="27" borderId="12" applyAlignment="1" pivotButton="0" quotePrefix="0" xfId="0">
      <alignment horizontal="center" vertical="center"/>
    </xf>
    <xf numFmtId="0" fontId="28" fillId="28" borderId="12" applyAlignment="1" pivotButton="0" quotePrefix="0" xfId="0">
      <alignment horizontal="center" vertical="center"/>
    </xf>
    <xf numFmtId="0" fontId="28" fillId="29" borderId="12" applyAlignment="1" pivotButton="0" quotePrefix="0" xfId="0">
      <alignment horizontal="center" vertical="center"/>
    </xf>
    <xf numFmtId="9" fontId="28" fillId="27" borderId="14" applyAlignment="1" pivotButton="0" quotePrefix="0" xfId="0">
      <alignment horizontal="center" vertical="center"/>
    </xf>
    <xf numFmtId="165" fontId="28" fillId="27" borderId="15" applyAlignment="1" pivotButton="0" quotePrefix="0" xfId="0">
      <alignment horizontal="center" vertical="center"/>
    </xf>
    <xf numFmtId="0" fontId="28" fillId="28" borderId="15" applyAlignment="1" pivotButton="0" quotePrefix="0" xfId="0">
      <alignment horizontal="center" vertical="center"/>
    </xf>
    <xf numFmtId="0" fontId="29" fillId="28" borderId="15" pivotButton="0" quotePrefix="0" xfId="0"/>
    <xf numFmtId="0" fontId="29" fillId="28" borderId="20" pivotButton="0" quotePrefix="0" xfId="0"/>
    <xf numFmtId="0" fontId="28" fillId="29" borderId="15" applyAlignment="1" pivotButton="0" quotePrefix="0" xfId="0">
      <alignment horizontal="center" vertical="center"/>
    </xf>
    <xf numFmtId="0" fontId="28" fillId="30" borderId="12" applyAlignment="1" pivotButton="0" quotePrefix="0" xfId="0">
      <alignment horizontal="center" vertical="center"/>
    </xf>
    <xf numFmtId="0" fontId="28" fillId="31" borderId="12" applyAlignment="1" pivotButton="0" quotePrefix="0" xfId="0">
      <alignment horizontal="center" vertical="center"/>
    </xf>
    <xf numFmtId="0" fontId="28" fillId="30" borderId="15" applyAlignment="1" pivotButton="0" quotePrefix="0" xfId="0">
      <alignment horizontal="center" vertical="center"/>
    </xf>
    <xf numFmtId="0" fontId="28" fillId="31" borderId="15" applyAlignment="1" pivotButton="0" quotePrefix="0" xfId="0">
      <alignment horizontal="center" vertical="center"/>
    </xf>
    <xf numFmtId="0" fontId="28" fillId="32" borderId="12" applyAlignment="1" pivotButton="0" quotePrefix="0" xfId="0">
      <alignment horizontal="center" vertical="center"/>
    </xf>
    <xf numFmtId="0" fontId="28" fillId="33" borderId="12" applyAlignment="1" pivotButton="0" quotePrefix="0" xfId="0">
      <alignment horizontal="center" vertical="center"/>
    </xf>
    <xf numFmtId="0" fontId="28" fillId="33" borderId="13" applyAlignment="1" pivotButton="0" quotePrefix="0" xfId="0">
      <alignment horizontal="center" vertical="center"/>
    </xf>
    <xf numFmtId="0" fontId="28" fillId="33" borderId="15" applyAlignment="1" pivotButton="0" quotePrefix="0" xfId="0">
      <alignment horizontal="center" vertical="center"/>
    </xf>
    <xf numFmtId="0" fontId="28" fillId="32" borderId="15" applyAlignment="1" pivotButton="0" quotePrefix="0" xfId="0">
      <alignment horizontal="center" vertical="center"/>
    </xf>
    <xf numFmtId="0" fontId="28" fillId="33" borderId="16" applyAlignment="1" pivotButton="0" quotePrefix="0" xfId="0">
      <alignment horizontal="center" vertical="center"/>
    </xf>
    <xf numFmtId="0" fontId="28" fillId="32" borderId="1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BQ38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4.25" customWidth="1" style="111" min="1" max="1"/>
    <col width="11.13" customWidth="1" style="111" min="2" max="2"/>
    <col width="33.25" customWidth="1" style="111" min="3" max="3"/>
    <col width="19" customWidth="1" style="111" min="4" max="4"/>
    <col width="10.5" customWidth="1" style="111" min="5" max="6"/>
    <col width="9.630000000000001" customWidth="1" style="111" min="7" max="7"/>
    <col width="3" customWidth="1" style="111" min="9" max="68"/>
    <col width="3.38" customWidth="1" style="111" min="69" max="69"/>
  </cols>
  <sheetData>
    <row r="1" ht="21" customHeight="1" s="111">
      <c r="A1" s="1" t="n"/>
      <c r="B1" s="2" t="n"/>
      <c r="C1" s="3" t="n"/>
      <c r="D1" s="3" t="n"/>
      <c r="E1" s="3" t="n"/>
      <c r="F1" s="4" t="n"/>
      <c r="G1" s="4" t="n"/>
      <c r="H1" s="3" t="n"/>
      <c r="I1" s="5" t="n"/>
      <c r="J1" s="6" t="n"/>
      <c r="K1" s="9" t="n"/>
      <c r="L1" s="8" t="n"/>
      <c r="M1" s="9" t="n"/>
      <c r="N1" s="9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 ht="21" customHeight="1" s="111">
      <c r="A2" s="1" t="n"/>
      <c r="B2" s="11" t="inlineStr">
        <is>
          <t>Cronograma de Implementación</t>
        </is>
      </c>
      <c r="C2" s="112" t="n"/>
      <c r="D2" s="112" t="n"/>
      <c r="E2" s="112" t="n"/>
      <c r="F2" s="112" t="n"/>
      <c r="G2" s="112" t="n"/>
      <c r="H2" s="112" t="n"/>
      <c r="I2" s="13" t="n"/>
      <c r="J2" s="112" t="n"/>
      <c r="K2" s="112" t="n"/>
      <c r="L2" s="112" t="n"/>
      <c r="M2" s="112" t="n"/>
      <c r="N2" s="112" t="n"/>
      <c r="O2" s="14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5" t="n"/>
      <c r="AL2" s="15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</row>
    <row r="3" ht="21" customHeight="1" s="111">
      <c r="A3" s="1" t="n"/>
      <c r="B3" s="16" t="n"/>
      <c r="C3" s="16" t="n"/>
      <c r="D3" s="17" t="n"/>
      <c r="E3" s="17" t="n"/>
      <c r="F3" s="17" t="n"/>
      <c r="G3" s="17" t="n"/>
      <c r="H3" s="17" t="n"/>
      <c r="I3" s="18" t="n"/>
      <c r="J3" s="18" t="n"/>
      <c r="K3" s="18" t="n"/>
      <c r="L3" s="18" t="n"/>
      <c r="M3" s="19" t="n"/>
      <c r="N3" s="19" t="n"/>
      <c r="O3" s="1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</row>
    <row r="4" ht="21" customHeight="1" s="111">
      <c r="A4" s="1" t="n"/>
      <c r="B4" s="20" t="inlineStr">
        <is>
          <t>TÍTULO DEL PROYECTO</t>
        </is>
      </c>
      <c r="C4" s="113" t="n"/>
      <c r="D4" s="114" t="inlineStr">
        <is>
          <t>MILPÍN: Agua eficiente — Optimización del riego en zonas áridas</t>
        </is>
      </c>
      <c r="E4" s="113" t="n"/>
      <c r="F4" s="113" t="n"/>
      <c r="G4" s="113" t="n"/>
      <c r="H4" s="23" t="n"/>
      <c r="I4" s="20" t="n"/>
      <c r="J4" s="113" t="n"/>
      <c r="K4" s="113" t="n"/>
      <c r="L4" s="113" t="n"/>
      <c r="M4" s="113" t="n"/>
      <c r="N4" s="113" t="n"/>
      <c r="O4" s="113" t="n"/>
      <c r="P4" s="24" t="n"/>
      <c r="Q4" s="113" t="n"/>
      <c r="R4" s="113" t="n"/>
      <c r="S4" s="113" t="n"/>
      <c r="T4" s="113" t="n"/>
      <c r="U4" s="113" t="n"/>
      <c r="V4" s="113" t="n"/>
      <c r="W4" s="113" t="n"/>
      <c r="X4" s="113" t="n"/>
      <c r="Y4" s="113" t="n"/>
      <c r="Z4" s="113" t="n"/>
      <c r="AA4" s="113" t="n"/>
      <c r="AB4" s="113" t="n"/>
      <c r="AC4" s="25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</row>
    <row r="5" ht="21" customHeight="1" s="111">
      <c r="A5" s="1" t="n"/>
      <c r="B5" s="20" t="inlineStr">
        <is>
          <t>RESPONSABLE DEL PROYECTO</t>
        </is>
      </c>
      <c r="C5" s="113" t="n"/>
      <c r="D5" s="115" t="inlineStr">
        <is>
          <t>Gutiérrez Escoto Omar / Rosas León Ximena / Anaya Lima Erika</t>
        </is>
      </c>
      <c r="E5" s="113" t="n"/>
      <c r="F5" s="113" t="n"/>
      <c r="G5" s="113" t="n"/>
      <c r="H5" s="27" t="n"/>
      <c r="I5" s="20" t="inlineStr">
        <is>
          <t>FECHA</t>
        </is>
      </c>
      <c r="J5" s="113" t="n"/>
      <c r="K5" s="113" t="n"/>
      <c r="L5" s="113" t="n"/>
      <c r="M5" s="113" t="n"/>
      <c r="N5" s="113" t="n"/>
      <c r="O5" s="113" t="n"/>
      <c r="P5" s="28" t="n"/>
      <c r="Q5" s="113" t="n"/>
      <c r="R5" s="113" t="n"/>
      <c r="S5" s="113" t="n"/>
      <c r="T5" s="113" t="n"/>
      <c r="U5" s="113" t="n"/>
      <c r="V5" s="113" t="n"/>
      <c r="W5" s="113" t="n"/>
      <c r="X5" s="113" t="n"/>
      <c r="Y5" s="113" t="n"/>
      <c r="Z5" s="113" t="n"/>
      <c r="AA5" s="113" t="n"/>
      <c r="AB5" s="29" t="n"/>
      <c r="AC5" s="25" t="n"/>
      <c r="AD5" s="1" t="n"/>
      <c r="AE5" s="1" t="n"/>
      <c r="AF5" s="1" t="n"/>
      <c r="AG5" s="1" t="n"/>
      <c r="AH5" s="1" t="n"/>
      <c r="AI5" s="1" t="n"/>
      <c r="AJ5" s="1" t="n"/>
      <c r="AK5" s="1" t="n"/>
      <c r="AL5" s="30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</row>
    <row r="6" ht="21" customHeight="1" s="111">
      <c r="A6" s="31" t="n"/>
      <c r="B6" s="32" t="n"/>
      <c r="C6" s="32" t="n"/>
      <c r="D6" s="32" t="n"/>
      <c r="E6" s="32" t="n"/>
      <c r="F6" s="32" t="n"/>
      <c r="G6" s="33" t="n"/>
      <c r="H6" s="33" t="n"/>
      <c r="I6" s="32" t="n"/>
      <c r="J6" s="32" t="n"/>
      <c r="K6" s="32" t="n"/>
      <c r="L6" s="32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</row>
    <row r="7" ht="21" customHeight="1" s="111">
      <c r="A7" s="31" t="n"/>
      <c r="B7" s="32" t="n"/>
      <c r="C7" s="32" t="n"/>
      <c r="D7" s="32" t="n"/>
      <c r="E7" s="32" t="n"/>
      <c r="F7" s="32" t="n"/>
      <c r="G7" s="33" t="n"/>
      <c r="H7" s="33" t="n"/>
      <c r="I7" s="32" t="n"/>
      <c r="J7" s="32" t="n"/>
      <c r="K7" s="32" t="n"/>
      <c r="L7" s="32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  <c r="BD7" s="31" t="n"/>
      <c r="BE7" s="31" t="n"/>
      <c r="BF7" s="31" t="n"/>
      <c r="BG7" s="31" t="n"/>
      <c r="BH7" s="31" t="n"/>
      <c r="BI7" s="31" t="n"/>
      <c r="BJ7" s="31" t="n"/>
      <c r="BK7" s="31" t="n"/>
      <c r="BL7" s="31" t="n"/>
      <c r="BM7" s="31" t="n"/>
      <c r="BN7" s="31" t="n"/>
      <c r="BO7" s="31" t="n"/>
      <c r="BP7" s="31" t="n"/>
      <c r="BQ7" s="31" t="n"/>
    </row>
    <row r="8" ht="17.25" customHeight="1" s="111">
      <c r="A8" s="34" t="n"/>
      <c r="B8" s="35" t="inlineStr">
        <is>
          <t>NÚMERO EDT</t>
        </is>
      </c>
      <c r="C8" s="35" t="inlineStr">
        <is>
          <t>TÍTULO DE LA TAREA</t>
        </is>
      </c>
      <c r="D8" s="35" t="inlineStr">
        <is>
          <t>RESPONSABLE DE LA TAREA</t>
        </is>
      </c>
      <c r="E8" s="35" t="inlineStr">
        <is>
          <t>FECHA DE INICIO</t>
        </is>
      </c>
      <c r="F8" s="35" t="inlineStr">
        <is>
          <t>FECHA DE ENTREGA</t>
        </is>
      </c>
      <c r="G8" s="35" t="inlineStr">
        <is>
          <t>DURACIÓN</t>
        </is>
      </c>
      <c r="H8" s="35" t="inlineStr">
        <is>
          <t>% COMPLETADO 
DE LA TAREA</t>
        </is>
      </c>
      <c r="I8" s="36" t="inlineStr">
        <is>
          <t>FASE UNO</t>
        </is>
      </c>
      <c r="X8" s="37" t="inlineStr">
        <is>
          <t>FASE DOS</t>
        </is>
      </c>
      <c r="AM8" s="38" t="inlineStr">
        <is>
          <t>FASE TRES</t>
        </is>
      </c>
      <c r="BB8" s="116" t="inlineStr">
        <is>
          <t>FASE CUATRO</t>
        </is>
      </c>
      <c r="BP8" s="117" t="n"/>
      <c r="BQ8" s="31" t="n"/>
    </row>
    <row r="9" ht="17.25" customHeight="1" s="111">
      <c r="A9" s="41" t="n"/>
      <c r="I9" s="118" t="inlineStr">
        <is>
          <t>SEMANA 1</t>
        </is>
      </c>
      <c r="J9" s="119" t="n"/>
      <c r="K9" s="119" t="n"/>
      <c r="L9" s="119" t="n"/>
      <c r="M9" s="120" t="n"/>
      <c r="N9" s="118" t="inlineStr">
        <is>
          <t>SEMANA 2</t>
        </is>
      </c>
      <c r="O9" s="119" t="n"/>
      <c r="P9" s="119" t="n"/>
      <c r="Q9" s="119" t="n"/>
      <c r="R9" s="120" t="n"/>
      <c r="S9" s="118" t="inlineStr">
        <is>
          <t>SEMANA 3</t>
        </is>
      </c>
      <c r="T9" s="119" t="n"/>
      <c r="U9" s="119" t="n"/>
      <c r="V9" s="119" t="n"/>
      <c r="W9" s="120" t="n"/>
      <c r="X9" s="121" t="inlineStr">
        <is>
          <t>SEMANA 4</t>
        </is>
      </c>
      <c r="Y9" s="119" t="n"/>
      <c r="Z9" s="119" t="n"/>
      <c r="AA9" s="119" t="n"/>
      <c r="AB9" s="120" t="n"/>
      <c r="AC9" s="121" t="inlineStr">
        <is>
          <t>SEMANA 5</t>
        </is>
      </c>
      <c r="AD9" s="119" t="n"/>
      <c r="AE9" s="119" t="n"/>
      <c r="AF9" s="119" t="n"/>
      <c r="AG9" s="120" t="n"/>
      <c r="AH9" s="121" t="inlineStr">
        <is>
          <t>SEMANA 6</t>
        </is>
      </c>
      <c r="AI9" s="119" t="n"/>
      <c r="AJ9" s="119" t="n"/>
      <c r="AK9" s="119" t="n"/>
      <c r="AL9" s="120" t="n"/>
      <c r="AM9" s="122" t="inlineStr">
        <is>
          <t>SEMANA 7</t>
        </is>
      </c>
      <c r="AN9" s="119" t="n"/>
      <c r="AO9" s="119" t="n"/>
      <c r="AP9" s="119" t="n"/>
      <c r="AQ9" s="120" t="n"/>
      <c r="AR9" s="122" t="inlineStr">
        <is>
          <t>SEMANA 8</t>
        </is>
      </c>
      <c r="AS9" s="119" t="n"/>
      <c r="AT9" s="119" t="n"/>
      <c r="AU9" s="119" t="n"/>
      <c r="AV9" s="120" t="n"/>
      <c r="AW9" s="122" t="inlineStr">
        <is>
          <t>SEMANA 9</t>
        </is>
      </c>
      <c r="AX9" s="119" t="n"/>
      <c r="AY9" s="119" t="n"/>
      <c r="AZ9" s="119" t="n"/>
      <c r="BA9" s="120" t="n"/>
      <c r="BB9" s="123" t="inlineStr">
        <is>
          <t>SEMANA 10</t>
        </is>
      </c>
      <c r="BC9" s="119" t="n"/>
      <c r="BD9" s="119" t="n"/>
      <c r="BE9" s="119" t="n"/>
      <c r="BF9" s="120" t="n"/>
      <c r="BG9" s="123" t="inlineStr">
        <is>
          <t>SEMANA 11</t>
        </is>
      </c>
      <c r="BH9" s="119" t="n"/>
      <c r="BI9" s="119" t="n"/>
      <c r="BJ9" s="119" t="n"/>
      <c r="BK9" s="120" t="n"/>
      <c r="BL9" s="123" t="inlineStr">
        <is>
          <t>SEMANA 12</t>
        </is>
      </c>
      <c r="BM9" s="119" t="n"/>
      <c r="BN9" s="119" t="n"/>
      <c r="BO9" s="119" t="n"/>
      <c r="BP9" s="120" t="n"/>
      <c r="BQ9" s="41" t="n"/>
    </row>
    <row r="10" ht="17.25" customHeight="1" s="111">
      <c r="A10" s="48" t="n"/>
      <c r="I10" s="49" t="inlineStr">
        <is>
          <t>L</t>
        </is>
      </c>
      <c r="J10" s="49" t="inlineStr">
        <is>
          <t>M</t>
        </is>
      </c>
      <c r="K10" s="49" t="inlineStr">
        <is>
          <t>X</t>
        </is>
      </c>
      <c r="L10" s="49" t="inlineStr">
        <is>
          <t>J</t>
        </is>
      </c>
      <c r="M10" s="49" t="inlineStr">
        <is>
          <t>V</t>
        </is>
      </c>
      <c r="N10" s="49" t="inlineStr">
        <is>
          <t>L</t>
        </is>
      </c>
      <c r="O10" s="49" t="inlineStr">
        <is>
          <t>M</t>
        </is>
      </c>
      <c r="P10" s="49" t="inlineStr">
        <is>
          <t>X</t>
        </is>
      </c>
      <c r="Q10" s="49" t="inlineStr">
        <is>
          <t>J</t>
        </is>
      </c>
      <c r="R10" s="49" t="inlineStr">
        <is>
          <t>V</t>
        </is>
      </c>
      <c r="S10" s="49" t="inlineStr">
        <is>
          <t>L</t>
        </is>
      </c>
      <c r="T10" s="49" t="inlineStr">
        <is>
          <t>M</t>
        </is>
      </c>
      <c r="U10" s="49" t="inlineStr">
        <is>
          <t>X</t>
        </is>
      </c>
      <c r="V10" s="49" t="inlineStr">
        <is>
          <t>J</t>
        </is>
      </c>
      <c r="W10" s="49" t="inlineStr">
        <is>
          <t>V</t>
        </is>
      </c>
      <c r="X10" s="50" t="inlineStr">
        <is>
          <t>L</t>
        </is>
      </c>
      <c r="Y10" s="50" t="inlineStr">
        <is>
          <t>M</t>
        </is>
      </c>
      <c r="Z10" s="50" t="inlineStr">
        <is>
          <t>X</t>
        </is>
      </c>
      <c r="AA10" s="50" t="inlineStr">
        <is>
          <t>J</t>
        </is>
      </c>
      <c r="AB10" s="50" t="inlineStr">
        <is>
          <t>V</t>
        </is>
      </c>
      <c r="AC10" s="50" t="inlineStr">
        <is>
          <t>L</t>
        </is>
      </c>
      <c r="AD10" s="50" t="inlineStr">
        <is>
          <t>M</t>
        </is>
      </c>
      <c r="AE10" s="50" t="inlineStr">
        <is>
          <t>X</t>
        </is>
      </c>
      <c r="AF10" s="50" t="inlineStr">
        <is>
          <t>J</t>
        </is>
      </c>
      <c r="AG10" s="50" t="inlineStr">
        <is>
          <t>V</t>
        </is>
      </c>
      <c r="AH10" s="50" t="inlineStr">
        <is>
          <t>L</t>
        </is>
      </c>
      <c r="AI10" s="50" t="inlineStr">
        <is>
          <t>M</t>
        </is>
      </c>
      <c r="AJ10" s="50" t="inlineStr">
        <is>
          <t>X</t>
        </is>
      </c>
      <c r="AK10" s="50" t="inlineStr">
        <is>
          <t>J</t>
        </is>
      </c>
      <c r="AL10" s="50" t="inlineStr">
        <is>
          <t>V</t>
        </is>
      </c>
      <c r="AM10" s="51" t="inlineStr">
        <is>
          <t>L</t>
        </is>
      </c>
      <c r="AN10" s="51" t="inlineStr">
        <is>
          <t>M</t>
        </is>
      </c>
      <c r="AO10" s="51" t="inlineStr">
        <is>
          <t>X</t>
        </is>
      </c>
      <c r="AP10" s="51" t="inlineStr">
        <is>
          <t>J</t>
        </is>
      </c>
      <c r="AQ10" s="51" t="inlineStr">
        <is>
          <t>V</t>
        </is>
      </c>
      <c r="AR10" s="51" t="inlineStr">
        <is>
          <t>L</t>
        </is>
      </c>
      <c r="AS10" s="51" t="inlineStr">
        <is>
          <t>M</t>
        </is>
      </c>
      <c r="AT10" s="51" t="inlineStr">
        <is>
          <t>X</t>
        </is>
      </c>
      <c r="AU10" s="51" t="inlineStr">
        <is>
          <t>J</t>
        </is>
      </c>
      <c r="AV10" s="51" t="inlineStr">
        <is>
          <t>V</t>
        </is>
      </c>
      <c r="AW10" s="51" t="inlineStr">
        <is>
          <t>L</t>
        </is>
      </c>
      <c r="AX10" s="51" t="inlineStr">
        <is>
          <t>M</t>
        </is>
      </c>
      <c r="AY10" s="51" t="inlineStr">
        <is>
          <t>X</t>
        </is>
      </c>
      <c r="AZ10" s="51" t="inlineStr">
        <is>
          <t>J</t>
        </is>
      </c>
      <c r="BA10" s="51" t="inlineStr">
        <is>
          <t>V</t>
        </is>
      </c>
      <c r="BB10" s="52" t="inlineStr">
        <is>
          <t>L</t>
        </is>
      </c>
      <c r="BC10" s="52" t="inlineStr">
        <is>
          <t>M</t>
        </is>
      </c>
      <c r="BD10" s="52" t="inlineStr">
        <is>
          <t>X</t>
        </is>
      </c>
      <c r="BE10" s="52" t="inlineStr">
        <is>
          <t>J</t>
        </is>
      </c>
      <c r="BF10" s="52" t="inlineStr">
        <is>
          <t>V</t>
        </is>
      </c>
      <c r="BG10" s="52" t="inlineStr">
        <is>
          <t>L</t>
        </is>
      </c>
      <c r="BH10" s="52" t="inlineStr">
        <is>
          <t>M</t>
        </is>
      </c>
      <c r="BI10" s="52" t="inlineStr">
        <is>
          <t>X</t>
        </is>
      </c>
      <c r="BJ10" s="52" t="inlineStr">
        <is>
          <t>J</t>
        </is>
      </c>
      <c r="BK10" s="52" t="inlineStr">
        <is>
          <t>V</t>
        </is>
      </c>
      <c r="BL10" s="52" t="inlineStr">
        <is>
          <t>L</t>
        </is>
      </c>
      <c r="BM10" s="52" t="inlineStr">
        <is>
          <t>M</t>
        </is>
      </c>
      <c r="BN10" s="52" t="inlineStr">
        <is>
          <t>X</t>
        </is>
      </c>
      <c r="BO10" s="52" t="inlineStr">
        <is>
          <t>J</t>
        </is>
      </c>
      <c r="BP10" s="52" t="inlineStr">
        <is>
          <t>V</t>
        </is>
      </c>
      <c r="BQ10" s="48" t="n"/>
    </row>
    <row r="11" ht="21" customHeight="1" s="111">
      <c r="A11" s="31" t="n"/>
      <c r="B11" s="53" t="n">
        <v>1</v>
      </c>
      <c r="C11" s="54" t="inlineStr">
        <is>
          <t>Adquisición de Datos</t>
        </is>
      </c>
      <c r="D11" s="55" t="n"/>
      <c r="E11" s="55" t="n"/>
      <c r="F11" s="55" t="n"/>
      <c r="G11" s="55" t="n"/>
      <c r="H11" s="55" t="n"/>
      <c r="I11" s="124" t="n"/>
      <c r="J11" s="125" t="n"/>
      <c r="K11" s="126" t="n"/>
      <c r="L11" s="126" t="n"/>
      <c r="M11" s="124" t="n"/>
      <c r="N11" s="124" t="n"/>
      <c r="O11" s="124" t="n"/>
      <c r="P11" s="124" t="n"/>
      <c r="Q11" s="124" t="n"/>
      <c r="R11" s="124" t="n"/>
      <c r="S11" s="124" t="n"/>
      <c r="T11" s="124" t="n"/>
      <c r="U11" s="124" t="n"/>
      <c r="V11" s="124" t="n"/>
      <c r="W11" s="124" t="n"/>
      <c r="X11" s="124" t="n"/>
      <c r="Y11" s="124" t="n"/>
      <c r="Z11" s="124" t="n"/>
      <c r="AA11" s="124" t="n"/>
      <c r="AB11" s="124" t="n"/>
      <c r="AC11" s="124" t="n"/>
      <c r="AD11" s="124" t="n"/>
      <c r="AE11" s="124" t="n"/>
      <c r="AF11" s="124" t="n"/>
      <c r="AG11" s="124" t="n"/>
      <c r="AH11" s="124" t="n"/>
      <c r="AI11" s="124" t="n"/>
      <c r="AJ11" s="124" t="n"/>
      <c r="AK11" s="124" t="n"/>
      <c r="AL11" s="124" t="n"/>
      <c r="AM11" s="124" t="n"/>
      <c r="AN11" s="124" t="n"/>
      <c r="AO11" s="124" t="n"/>
      <c r="AP11" s="124" t="n"/>
      <c r="AQ11" s="124" t="n"/>
      <c r="AR11" s="124" t="n"/>
      <c r="AS11" s="124" t="n"/>
      <c r="AT11" s="124" t="n"/>
      <c r="AU11" s="124" t="n"/>
      <c r="AV11" s="124" t="n"/>
      <c r="AW11" s="124" t="n"/>
      <c r="AX11" s="124" t="n"/>
      <c r="AY11" s="124" t="n"/>
      <c r="AZ11" s="124" t="n"/>
      <c r="BA11" s="124" t="n"/>
      <c r="BB11" s="124" t="n"/>
      <c r="BC11" s="124" t="n"/>
      <c r="BD11" s="124" t="n"/>
      <c r="BE11" s="124" t="n"/>
      <c r="BF11" s="124" t="n"/>
      <c r="BG11" s="124" t="n"/>
      <c r="BH11" s="124" t="n"/>
      <c r="BI11" s="124" t="n"/>
      <c r="BJ11" s="124" t="n"/>
      <c r="BK11" s="124" t="n"/>
      <c r="BL11" s="124" t="n"/>
      <c r="BM11" s="124" t="n"/>
      <c r="BN11" s="124" t="n"/>
      <c r="BO11" s="124" t="n"/>
      <c r="BP11" s="124" t="n"/>
      <c r="BQ11" s="31" t="n"/>
    </row>
    <row r="12" outlineLevel="1" ht="17.25" customHeight="1" s="111">
      <c r="A12" s="60" t="n"/>
      <c r="B12" s="61" t="inlineStr">
        <is>
          <t>1.1</t>
        </is>
      </c>
      <c r="C12" s="62" t="inlineStr">
        <is>
          <t>Identificar fuentes de datos requeridas</t>
        </is>
      </c>
      <c r="D12" s="127" t="inlineStr">
        <is>
          <t>Omar</t>
        </is>
      </c>
      <c r="E12" s="63" t="n">
        <v>46146</v>
      </c>
      <c r="F12" s="63" t="n">
        <v>46150</v>
      </c>
      <c r="G12" s="64">
        <f>DAYS360(E12,F12)</f>
        <v/>
      </c>
      <c r="H12" s="65" t="n">
        <v>1</v>
      </c>
      <c r="I12" s="128" t="n"/>
      <c r="J12" s="129" t="n"/>
      <c r="K12" s="130" t="n"/>
      <c r="L12" s="130" t="n"/>
      <c r="M12" s="130" t="n"/>
      <c r="N12" s="131" t="n"/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2" t="n"/>
      <c r="Y12" s="132" t="n"/>
      <c r="Z12" s="132" t="n"/>
      <c r="AA12" s="132" t="n"/>
      <c r="AB12" s="132" t="n"/>
      <c r="AC12" s="132" t="n"/>
      <c r="AD12" s="132" t="n"/>
      <c r="AE12" s="132" t="n"/>
      <c r="AF12" s="132" t="n"/>
      <c r="AG12" s="132" t="n"/>
      <c r="AH12" s="132" t="n"/>
      <c r="AI12" s="132" t="n"/>
      <c r="AJ12" s="132" t="n"/>
      <c r="AK12" s="132" t="n"/>
      <c r="AL12" s="132" t="n"/>
      <c r="AM12" s="132" t="n"/>
      <c r="AN12" s="132" t="n"/>
      <c r="AO12" s="132" t="n"/>
      <c r="AP12" s="132" t="n"/>
      <c r="AQ12" s="132" t="n"/>
      <c r="AR12" s="132" t="n"/>
      <c r="AS12" s="132" t="n"/>
      <c r="AT12" s="132" t="n"/>
      <c r="AU12" s="132" t="n"/>
      <c r="AV12" s="132" t="n"/>
      <c r="AW12" s="132" t="n"/>
      <c r="AX12" s="132" t="n"/>
      <c r="AY12" s="132" t="n"/>
      <c r="AZ12" s="132" t="n"/>
      <c r="BA12" s="132" t="n"/>
      <c r="BB12" s="132" t="n"/>
      <c r="BC12" s="132" t="n"/>
      <c r="BD12" s="132" t="n"/>
      <c r="BE12" s="132" t="n"/>
      <c r="BF12" s="132" t="n"/>
      <c r="BG12" s="132" t="n"/>
      <c r="BH12" s="132" t="n"/>
      <c r="BI12" s="132" t="n"/>
      <c r="BJ12" s="132" t="n"/>
      <c r="BK12" s="132" t="n"/>
      <c r="BL12" s="132" t="n"/>
      <c r="BM12" s="132" t="n"/>
      <c r="BN12" s="132" t="n"/>
      <c r="BO12" s="132" t="n"/>
      <c r="BP12" s="133" t="n"/>
      <c r="BQ12" s="60" t="n"/>
    </row>
    <row r="13" outlineLevel="1" ht="17.25" customHeight="1" s="111">
      <c r="A13" s="60" t="n"/>
      <c r="B13" s="77" t="inlineStr">
        <is>
          <t>1.2</t>
        </is>
      </c>
      <c r="C13" s="62" t="inlineStr">
        <is>
          <t>Descargar datos climáticos SMN (CSV)</t>
        </is>
      </c>
      <c r="D13" s="127" t="inlineStr">
        <is>
          <t>Ximena</t>
        </is>
      </c>
      <c r="E13" s="63" t="n">
        <v>46146</v>
      </c>
      <c r="F13" s="63" t="n">
        <v>46157</v>
      </c>
      <c r="G13" s="64">
        <f>DAYS360(E13,F13)</f>
        <v/>
      </c>
      <c r="H13" s="65" t="n">
        <v>1</v>
      </c>
      <c r="I13" s="134" t="n"/>
      <c r="J13" s="135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7" t="n"/>
      <c r="T13" s="137" t="n"/>
      <c r="U13" s="137" t="n"/>
      <c r="V13" s="137" t="n"/>
      <c r="W13" s="137" t="n"/>
      <c r="X13" s="138" t="n"/>
      <c r="Y13" s="138" t="n"/>
      <c r="Z13" s="138" t="n"/>
      <c r="AA13" s="138" t="n"/>
      <c r="AB13" s="138" t="n"/>
      <c r="AC13" s="138" t="n"/>
      <c r="AD13" s="138" t="n"/>
      <c r="AE13" s="138" t="n"/>
      <c r="AF13" s="138" t="n"/>
      <c r="AG13" s="138" t="n"/>
      <c r="AH13" s="138" t="n"/>
      <c r="AI13" s="138" t="n"/>
      <c r="AJ13" s="138" t="n"/>
      <c r="AK13" s="138" t="n"/>
      <c r="AL13" s="138" t="n"/>
      <c r="AM13" s="138" t="n"/>
      <c r="AN13" s="138" t="n"/>
      <c r="AO13" s="138" t="n"/>
      <c r="AP13" s="138" t="n"/>
      <c r="AQ13" s="138" t="n"/>
      <c r="AR13" s="138" t="n"/>
      <c r="AS13" s="138" t="n"/>
      <c r="AT13" s="138" t="n"/>
      <c r="AU13" s="138" t="n"/>
      <c r="AV13" s="138" t="n"/>
      <c r="AW13" s="138" t="n"/>
      <c r="AX13" s="138" t="n"/>
      <c r="AY13" s="138" t="n"/>
      <c r="AZ13" s="138" t="n"/>
      <c r="BA13" s="138" t="n"/>
      <c r="BB13" s="138" t="n"/>
      <c r="BC13" s="138" t="n"/>
      <c r="BD13" s="138" t="n"/>
      <c r="BE13" s="138" t="n"/>
      <c r="BF13" s="138" t="n"/>
      <c r="BG13" s="138" t="n"/>
      <c r="BH13" s="138" t="n"/>
      <c r="BI13" s="138" t="n"/>
      <c r="BJ13" s="138" t="n"/>
      <c r="BK13" s="138" t="n"/>
      <c r="BL13" s="138" t="n"/>
      <c r="BM13" s="138" t="n"/>
      <c r="BN13" s="138" t="n"/>
      <c r="BO13" s="138" t="n"/>
      <c r="BP13" s="139" t="n"/>
      <c r="BQ13" s="60" t="n"/>
    </row>
    <row r="14" outlineLevel="1" ht="17.25" customHeight="1" s="111">
      <c r="A14" s="60" t="n"/>
      <c r="B14" s="61" t="inlineStr">
        <is>
          <t>1.3</t>
        </is>
      </c>
      <c r="C14" s="62" t="inlineStr">
        <is>
          <t>Actualizar estructura BD PostGIS</t>
        </is>
      </c>
      <c r="D14" s="127" t="inlineStr">
        <is>
          <t>Erika</t>
        </is>
      </c>
      <c r="E14" s="63" t="n">
        <v>46153</v>
      </c>
      <c r="F14" s="63" t="n">
        <v>46157</v>
      </c>
      <c r="G14" s="64">
        <f>DAYS360(E14,F14)</f>
        <v/>
      </c>
      <c r="H14" s="65" t="n">
        <v>0.9</v>
      </c>
      <c r="I14" s="140" t="n"/>
      <c r="J14" s="141" t="n"/>
      <c r="K14" s="137" t="n"/>
      <c r="L14" s="137" t="n"/>
      <c r="M14" s="137" t="n"/>
      <c r="N14" s="136" t="n"/>
      <c r="O14" s="136" t="n"/>
      <c r="P14" s="136" t="n"/>
      <c r="Q14" s="136" t="n"/>
      <c r="R14" s="136" t="n"/>
      <c r="S14" s="137" t="n"/>
      <c r="T14" s="137" t="n"/>
      <c r="U14" s="137" t="n"/>
      <c r="V14" s="137" t="n"/>
      <c r="W14" s="137" t="n"/>
      <c r="X14" s="138" t="n"/>
      <c r="Y14" s="138" t="n"/>
      <c r="Z14" s="138" t="n"/>
      <c r="AA14" s="138" t="n"/>
      <c r="AB14" s="138" t="n"/>
      <c r="AC14" s="138" t="n"/>
      <c r="AD14" s="138" t="n"/>
      <c r="AE14" s="138" t="n"/>
      <c r="AF14" s="138" t="n"/>
      <c r="AG14" s="138" t="n"/>
      <c r="AH14" s="138" t="n"/>
      <c r="AI14" s="138" t="n"/>
      <c r="AJ14" s="138" t="n"/>
      <c r="AK14" s="138" t="n"/>
      <c r="AL14" s="138" t="n"/>
      <c r="AM14" s="138" t="n"/>
      <c r="AN14" s="138" t="n"/>
      <c r="AO14" s="138" t="n"/>
      <c r="AP14" s="138" t="n"/>
      <c r="AQ14" s="138" t="n"/>
      <c r="AR14" s="138" t="n"/>
      <c r="AS14" s="138" t="n"/>
      <c r="AT14" s="138" t="n"/>
      <c r="AU14" s="138" t="n"/>
      <c r="AV14" s="138" t="n"/>
      <c r="AW14" s="138" t="n"/>
      <c r="AX14" s="138" t="n"/>
      <c r="AY14" s="138" t="n"/>
      <c r="AZ14" s="138" t="n"/>
      <c r="BA14" s="138" t="n"/>
      <c r="BB14" s="138" t="n"/>
      <c r="BC14" s="138" t="n"/>
      <c r="BD14" s="138" t="n"/>
      <c r="BE14" s="138" t="n"/>
      <c r="BF14" s="138" t="n"/>
      <c r="BG14" s="138" t="n"/>
      <c r="BH14" s="138" t="n"/>
      <c r="BI14" s="138" t="n"/>
      <c r="BJ14" s="138" t="n"/>
      <c r="BK14" s="138" t="n"/>
      <c r="BL14" s="138" t="n"/>
      <c r="BM14" s="138" t="n"/>
      <c r="BN14" s="138" t="n"/>
      <c r="BO14" s="138" t="n"/>
      <c r="BP14" s="139" t="n"/>
      <c r="BQ14" s="60" t="n"/>
    </row>
    <row r="15" outlineLevel="1" ht="17.25" customHeight="1" s="111">
      <c r="A15" s="60" t="n"/>
      <c r="B15" s="61" t="inlineStr">
        <is>
          <t>1.4</t>
        </is>
      </c>
      <c r="C15" s="62" t="inlineStr">
        <is>
          <t>Agregar tablas ciclos_agricolas y pozos</t>
        </is>
      </c>
      <c r="D15" s="127" t="inlineStr">
        <is>
          <t>Omar</t>
        </is>
      </c>
      <c r="E15" s="63" t="n">
        <v>46153</v>
      </c>
      <c r="F15" s="63" t="n">
        <v>46164</v>
      </c>
      <c r="G15" s="64">
        <f>DAYS360(E15,F15)</f>
        <v/>
      </c>
      <c r="H15" s="89" t="n">
        <v>0.4</v>
      </c>
      <c r="I15" s="140" t="n"/>
      <c r="J15" s="141" t="n"/>
      <c r="K15" s="137" t="n"/>
      <c r="L15" s="137" t="n"/>
      <c r="M15" s="137" t="n"/>
      <c r="N15" s="136" t="n"/>
      <c r="O15" s="136" t="n"/>
      <c r="P15" s="136" t="n"/>
      <c r="Q15" s="136" t="n"/>
      <c r="R15" s="136" t="n"/>
      <c r="S15" s="136" t="n"/>
      <c r="T15" s="136" t="n"/>
      <c r="U15" s="136" t="n"/>
      <c r="V15" s="136" t="n"/>
      <c r="W15" s="136" t="n"/>
      <c r="X15" s="138" t="n"/>
      <c r="Y15" s="138" t="n"/>
      <c r="Z15" s="138" t="n"/>
      <c r="AA15" s="138" t="n"/>
      <c r="AB15" s="138" t="n"/>
      <c r="AC15" s="138" t="n"/>
      <c r="AD15" s="138" t="n"/>
      <c r="AE15" s="138" t="n"/>
      <c r="AF15" s="138" t="n"/>
      <c r="AG15" s="138" t="n"/>
      <c r="AH15" s="138" t="n"/>
      <c r="AI15" s="138" t="n"/>
      <c r="AJ15" s="138" t="n"/>
      <c r="AK15" s="138" t="n"/>
      <c r="AL15" s="138" t="n"/>
      <c r="AM15" s="138" t="n"/>
      <c r="AN15" s="138" t="n"/>
      <c r="AO15" s="138" t="n"/>
      <c r="AP15" s="138" t="n"/>
      <c r="AQ15" s="138" t="n"/>
      <c r="AR15" s="138" t="n"/>
      <c r="AS15" s="138" t="n"/>
      <c r="AT15" s="138" t="n"/>
      <c r="AU15" s="138" t="n"/>
      <c r="AV15" s="138" t="n"/>
      <c r="AW15" s="138" t="n"/>
      <c r="AX15" s="138" t="n"/>
      <c r="AY15" s="138" t="n"/>
      <c r="AZ15" s="138" t="n"/>
      <c r="BA15" s="138" t="n"/>
      <c r="BB15" s="138" t="n"/>
      <c r="BC15" s="138" t="n"/>
      <c r="BD15" s="138" t="n"/>
      <c r="BE15" s="138" t="n"/>
      <c r="BF15" s="138" t="n"/>
      <c r="BG15" s="138" t="n"/>
      <c r="BH15" s="138" t="n"/>
      <c r="BI15" s="138" t="n"/>
      <c r="BJ15" s="138" t="n"/>
      <c r="BK15" s="138" t="n"/>
      <c r="BL15" s="138" t="n"/>
      <c r="BM15" s="138" t="n"/>
      <c r="BN15" s="138" t="n"/>
      <c r="BO15" s="138" t="n"/>
      <c r="BP15" s="139" t="n"/>
      <c r="BQ15" s="60" t="n"/>
    </row>
    <row r="16" outlineLevel="1" ht="17.25" customHeight="1" s="111">
      <c r="A16" s="60" t="n"/>
      <c r="B16" s="61" t="inlineStr">
        <is>
          <t>1.5</t>
        </is>
      </c>
      <c r="C16" s="62" t="inlineStr">
        <is>
          <t>Simular datos sintéticos suelo/clima</t>
        </is>
      </c>
      <c r="D16" s="127" t="inlineStr">
        <is>
          <t>Ximena</t>
        </is>
      </c>
      <c r="E16" s="63" t="n">
        <v>46153</v>
      </c>
      <c r="F16" s="63" t="n">
        <v>46164</v>
      </c>
      <c r="G16" s="64">
        <f>DAYS360(E16,F16)</f>
        <v/>
      </c>
      <c r="H16" s="65" t="n">
        <v>0.7</v>
      </c>
      <c r="I16" s="140" t="n"/>
      <c r="J16" s="141" t="n"/>
      <c r="K16" s="137" t="n"/>
      <c r="L16" s="137" t="n"/>
      <c r="M16" s="137" t="n"/>
      <c r="N16" s="136" t="n"/>
      <c r="O16" s="136" t="n"/>
      <c r="P16" s="136" t="n"/>
      <c r="Q16" s="136" t="n"/>
      <c r="R16" s="136" t="n"/>
      <c r="S16" s="136" t="n"/>
      <c r="T16" s="136" t="n"/>
      <c r="U16" s="136" t="n"/>
      <c r="V16" s="136" t="n"/>
      <c r="W16" s="136" t="n"/>
      <c r="X16" s="138" t="n"/>
      <c r="Y16" s="138" t="n"/>
      <c r="Z16" s="138" t="n"/>
      <c r="AA16" s="138" t="n"/>
      <c r="AB16" s="138" t="n"/>
      <c r="AC16" s="138" t="n"/>
      <c r="AD16" s="138" t="n"/>
      <c r="AE16" s="138" t="n"/>
      <c r="AF16" s="138" t="n"/>
      <c r="AG16" s="138" t="n"/>
      <c r="AH16" s="138" t="n"/>
      <c r="AI16" s="138" t="n"/>
      <c r="AJ16" s="138" t="n"/>
      <c r="AK16" s="138" t="n"/>
      <c r="AL16" s="138" t="n"/>
      <c r="AM16" s="138" t="n"/>
      <c r="AN16" s="138" t="n"/>
      <c r="AO16" s="138" t="n"/>
      <c r="AP16" s="138" t="n"/>
      <c r="AQ16" s="138" t="n"/>
      <c r="AR16" s="138" t="n"/>
      <c r="AS16" s="138" t="n"/>
      <c r="AT16" s="138" t="n"/>
      <c r="AU16" s="138" t="n"/>
      <c r="AV16" s="138" t="n"/>
      <c r="AW16" s="138" t="n"/>
      <c r="AX16" s="138" t="n"/>
      <c r="AY16" s="138" t="n"/>
      <c r="AZ16" s="138" t="n"/>
      <c r="BA16" s="138" t="n"/>
      <c r="BB16" s="138" t="n"/>
      <c r="BC16" s="138" t="n"/>
      <c r="BD16" s="138" t="n"/>
      <c r="BE16" s="138" t="n"/>
      <c r="BF16" s="138" t="n"/>
      <c r="BG16" s="138" t="n"/>
      <c r="BH16" s="138" t="n"/>
      <c r="BI16" s="138" t="n"/>
      <c r="BJ16" s="138" t="n"/>
      <c r="BK16" s="138" t="n"/>
      <c r="BL16" s="138" t="n"/>
      <c r="BM16" s="138" t="n"/>
      <c r="BN16" s="138" t="n"/>
      <c r="BO16" s="138" t="n"/>
      <c r="BP16" s="139" t="n"/>
      <c r="BQ16" s="60" t="n"/>
    </row>
    <row r="17" outlineLevel="1" ht="17.25" customHeight="1" s="111">
      <c r="A17" s="60" t="n"/>
      <c r="B17" s="61" t="inlineStr">
        <is>
          <t>1.6</t>
        </is>
      </c>
      <c r="C17" s="62" t="inlineStr">
        <is>
          <t>Validar geometrías con ST_MakeValid</t>
        </is>
      </c>
      <c r="D17" s="127" t="inlineStr">
        <is>
          <t>Erika</t>
        </is>
      </c>
      <c r="E17" s="63" t="n">
        <v>46160</v>
      </c>
      <c r="F17" s="63" t="n">
        <v>46164</v>
      </c>
      <c r="G17" s="64">
        <f>DAYS360(E17,F17)</f>
        <v/>
      </c>
      <c r="H17" s="65" t="n">
        <v>0.6</v>
      </c>
      <c r="I17" s="140" t="n"/>
      <c r="J17" s="141" t="n"/>
      <c r="K17" s="137" t="n"/>
      <c r="L17" s="137" t="n"/>
      <c r="M17" s="137" t="n"/>
      <c r="N17" s="137" t="n"/>
      <c r="O17" s="137" t="n"/>
      <c r="P17" s="137" t="n"/>
      <c r="Q17" s="137" t="n"/>
      <c r="R17" s="137" t="n"/>
      <c r="S17" s="136" t="n"/>
      <c r="T17" s="136" t="n"/>
      <c r="U17" s="136" t="n"/>
      <c r="V17" s="136" t="n"/>
      <c r="W17" s="136" t="n"/>
      <c r="X17" s="138" t="n"/>
      <c r="Y17" s="138" t="n"/>
      <c r="Z17" s="138" t="n"/>
      <c r="AA17" s="138" t="n"/>
      <c r="AB17" s="138" t="n"/>
      <c r="AC17" s="138" t="n"/>
      <c r="AD17" s="138" t="n"/>
      <c r="AE17" s="138" t="n"/>
      <c r="AF17" s="138" t="n"/>
      <c r="AG17" s="138" t="n"/>
      <c r="AH17" s="138" t="n"/>
      <c r="AI17" s="138" t="n"/>
      <c r="AJ17" s="138" t="n"/>
      <c r="AK17" s="138" t="n"/>
      <c r="AL17" s="138" t="n"/>
      <c r="AM17" s="138" t="n"/>
      <c r="AN17" s="138" t="n"/>
      <c r="AO17" s="138" t="n"/>
      <c r="AP17" s="138" t="n"/>
      <c r="AQ17" s="138" t="n"/>
      <c r="AR17" s="138" t="n"/>
      <c r="AS17" s="138" t="n"/>
      <c r="AT17" s="138" t="n"/>
      <c r="AU17" s="138" t="n"/>
      <c r="AV17" s="138" t="n"/>
      <c r="AW17" s="138" t="n"/>
      <c r="AX17" s="138" t="n"/>
      <c r="AY17" s="138" t="n"/>
      <c r="AZ17" s="138" t="n"/>
      <c r="BA17" s="138" t="n"/>
      <c r="BB17" s="138" t="n"/>
      <c r="BC17" s="138" t="n"/>
      <c r="BD17" s="138" t="n"/>
      <c r="BE17" s="138" t="n"/>
      <c r="BF17" s="138" t="n"/>
      <c r="BG17" s="138" t="n"/>
      <c r="BH17" s="138" t="n"/>
      <c r="BI17" s="138" t="n"/>
      <c r="BJ17" s="138" t="n"/>
      <c r="BK17" s="138" t="n"/>
      <c r="BL17" s="138" t="n"/>
      <c r="BM17" s="138" t="n"/>
      <c r="BN17" s="138" t="n"/>
      <c r="BO17" s="138" t="n"/>
      <c r="BP17" s="139" t="n"/>
      <c r="BQ17" s="60" t="n"/>
    </row>
    <row r="18" outlineLevel="1" ht="17.25" customHeight="1" s="111">
      <c r="A18" s="60" t="n"/>
      <c r="B18" s="90" t="inlineStr">
        <is>
          <t>1.7</t>
        </is>
      </c>
      <c r="C18" s="91" t="inlineStr">
        <is>
          <t>Configurar seeders y datos de prueba</t>
        </is>
      </c>
      <c r="D18" s="142" t="inlineStr">
        <is>
          <t>Omar</t>
        </is>
      </c>
      <c r="E18" s="63" t="n">
        <v>46160</v>
      </c>
      <c r="F18" s="63" t="n">
        <v>46164</v>
      </c>
      <c r="G18" s="92">
        <f>DAYS360(E18,F18)</f>
        <v/>
      </c>
      <c r="H18" s="93" t="n">
        <v>0.5</v>
      </c>
      <c r="I18" s="143" t="n"/>
      <c r="J18" s="144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6" t="n"/>
      <c r="T18" s="146" t="n"/>
      <c r="U18" s="146" t="n"/>
      <c r="V18" s="146" t="n"/>
      <c r="W18" s="146" t="n"/>
      <c r="X18" s="147" t="n"/>
      <c r="Y18" s="147" t="n"/>
      <c r="Z18" s="147" t="n"/>
      <c r="AA18" s="147" t="n"/>
      <c r="AB18" s="147" t="n"/>
      <c r="AC18" s="147" t="n"/>
      <c r="AD18" s="147" t="n"/>
      <c r="AE18" s="147" t="n"/>
      <c r="AF18" s="147" t="n"/>
      <c r="AG18" s="147" t="n"/>
      <c r="AH18" s="147" t="n"/>
      <c r="AI18" s="147" t="n"/>
      <c r="AJ18" s="147" t="n"/>
      <c r="AK18" s="147" t="n"/>
      <c r="AL18" s="147" t="n"/>
      <c r="AM18" s="147" t="n"/>
      <c r="AN18" s="147" t="n"/>
      <c r="AO18" s="147" t="n"/>
      <c r="AP18" s="147" t="n"/>
      <c r="AQ18" s="147" t="n"/>
      <c r="AR18" s="147" t="n"/>
      <c r="AS18" s="147" t="n"/>
      <c r="AT18" s="147" t="n"/>
      <c r="AU18" s="147" t="n"/>
      <c r="AV18" s="147" t="n"/>
      <c r="AW18" s="147" t="n"/>
      <c r="AX18" s="147" t="n"/>
      <c r="AY18" s="147" t="n"/>
      <c r="AZ18" s="147" t="n"/>
      <c r="BA18" s="147" t="n"/>
      <c r="BB18" s="147" t="n"/>
      <c r="BC18" s="147" t="n"/>
      <c r="BD18" s="147" t="n"/>
      <c r="BE18" s="147" t="n"/>
      <c r="BF18" s="147" t="n"/>
      <c r="BG18" s="147" t="n"/>
      <c r="BH18" s="147" t="n"/>
      <c r="BI18" s="147" t="n"/>
      <c r="BJ18" s="147" t="n"/>
      <c r="BK18" s="147" t="n"/>
      <c r="BL18" s="147" t="n"/>
      <c r="BM18" s="147" t="n"/>
      <c r="BN18" s="147" t="n"/>
      <c r="BO18" s="147" t="n"/>
      <c r="BP18" s="148" t="n"/>
      <c r="BQ18" s="60" t="n"/>
    </row>
    <row r="19" ht="21" customHeight="1" s="111">
      <c r="A19" s="31" t="n"/>
      <c r="B19" s="53" t="n">
        <v>2</v>
      </c>
      <c r="C19" s="54" t="inlineStr">
        <is>
          <t>Ingeniería de Datos y EDA</t>
        </is>
      </c>
      <c r="D19" s="55" t="n"/>
      <c r="E19" s="55" t="n"/>
      <c r="F19" s="55" t="n"/>
      <c r="G19" s="55" t="n"/>
      <c r="H19" s="55" t="n"/>
      <c r="I19" s="124" t="n"/>
      <c r="J19" s="125" t="n"/>
      <c r="K19" s="126" t="n"/>
      <c r="L19" s="126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4" t="n"/>
      <c r="W19" s="124" t="n"/>
      <c r="X19" s="124" t="n"/>
      <c r="Y19" s="124" t="n"/>
      <c r="Z19" s="124" t="n"/>
      <c r="AA19" s="124" t="n"/>
      <c r="AB19" s="124" t="n"/>
      <c r="AC19" s="124" t="n"/>
      <c r="AD19" s="124" t="n"/>
      <c r="AE19" s="124" t="n"/>
      <c r="AF19" s="124" t="n"/>
      <c r="AG19" s="124" t="n"/>
      <c r="AH19" s="124" t="n"/>
      <c r="AI19" s="124" t="n"/>
      <c r="AJ19" s="124" t="n"/>
      <c r="AK19" s="124" t="n"/>
      <c r="AL19" s="124" t="n"/>
      <c r="AM19" s="124" t="n"/>
      <c r="AN19" s="124" t="n"/>
      <c r="AO19" s="124" t="n"/>
      <c r="AP19" s="124" t="n"/>
      <c r="AQ19" s="124" t="n"/>
      <c r="AR19" s="124" t="n"/>
      <c r="AS19" s="124" t="n"/>
      <c r="AT19" s="124" t="n"/>
      <c r="AU19" s="124" t="n"/>
      <c r="AV19" s="124" t="n"/>
      <c r="AW19" s="124" t="n"/>
      <c r="AX19" s="124" t="n"/>
      <c r="AY19" s="124" t="n"/>
      <c r="AZ19" s="124" t="n"/>
      <c r="BA19" s="124" t="n"/>
      <c r="BB19" s="124" t="n"/>
      <c r="BC19" s="124" t="n"/>
      <c r="BD19" s="124" t="n"/>
      <c r="BE19" s="124" t="n"/>
      <c r="BF19" s="124" t="n"/>
      <c r="BG19" s="124" t="n"/>
      <c r="BH19" s="124" t="n"/>
      <c r="BI19" s="124" t="n"/>
      <c r="BJ19" s="124" t="n"/>
      <c r="BK19" s="124" t="n"/>
      <c r="BL19" s="124" t="n"/>
      <c r="BM19" s="124" t="n"/>
      <c r="BN19" s="124" t="n"/>
      <c r="BO19" s="124" t="n"/>
      <c r="BP19" s="124" t="n"/>
      <c r="BQ19" s="31" t="n"/>
    </row>
    <row r="20" outlineLevel="1" ht="17.25" customHeight="1" s="111">
      <c r="A20" s="60" t="n"/>
      <c r="B20" s="61" t="inlineStr">
        <is>
          <t>2.1</t>
        </is>
      </c>
      <c r="C20" s="62" t="inlineStr">
        <is>
          <t>Limpieza y validación de datos</t>
        </is>
      </c>
      <c r="D20" s="127" t="inlineStr">
        <is>
          <t>Ximena</t>
        </is>
      </c>
      <c r="E20" s="63" t="n">
        <v>46167</v>
      </c>
      <c r="F20" s="63" t="n">
        <v>46171</v>
      </c>
      <c r="G20" s="64">
        <f>DAYS360(E20,F20)</f>
        <v/>
      </c>
      <c r="H20" s="65" t="n">
        <v>0.22</v>
      </c>
      <c r="I20" s="149" t="n"/>
      <c r="J20" s="150" t="n"/>
      <c r="K20" s="132" t="n"/>
      <c r="L20" s="132" t="n"/>
      <c r="M20" s="132" t="n"/>
      <c r="N20" s="132" t="n"/>
      <c r="O20" s="132" t="n"/>
      <c r="P20" s="132" t="n"/>
      <c r="Q20" s="132" t="n"/>
      <c r="R20" s="132" t="n"/>
      <c r="S20" s="132" t="n"/>
      <c r="T20" s="132" t="n"/>
      <c r="U20" s="132" t="n"/>
      <c r="V20" s="132" t="n"/>
      <c r="W20" s="132" t="n"/>
      <c r="X20" s="151" t="n"/>
      <c r="Y20" s="151" t="n"/>
      <c r="Z20" s="151" t="n"/>
      <c r="AA20" s="151" t="n"/>
      <c r="AB20" s="151" t="n"/>
      <c r="AC20" s="152" t="n"/>
      <c r="AD20" s="152" t="n"/>
      <c r="AE20" s="152" t="n"/>
      <c r="AF20" s="152" t="n"/>
      <c r="AG20" s="152" t="n"/>
      <c r="AH20" s="152" t="n"/>
      <c r="AI20" s="152" t="n"/>
      <c r="AJ20" s="152" t="n"/>
      <c r="AK20" s="152" t="n"/>
      <c r="AL20" s="152" t="n"/>
      <c r="AM20" s="132" t="n"/>
      <c r="AN20" s="132" t="n"/>
      <c r="AO20" s="132" t="n"/>
      <c r="AP20" s="132" t="n"/>
      <c r="AQ20" s="132" t="n"/>
      <c r="AR20" s="132" t="n"/>
      <c r="AS20" s="132" t="n"/>
      <c r="AT20" s="132" t="n"/>
      <c r="AU20" s="132" t="n"/>
      <c r="AV20" s="132" t="n"/>
      <c r="AW20" s="132" t="n"/>
      <c r="AX20" s="132" t="n"/>
      <c r="AY20" s="132" t="n"/>
      <c r="AZ20" s="132" t="n"/>
      <c r="BA20" s="132" t="n"/>
      <c r="BB20" s="132" t="n"/>
      <c r="BC20" s="132" t="n"/>
      <c r="BD20" s="132" t="n"/>
      <c r="BE20" s="132" t="n"/>
      <c r="BF20" s="132" t="n"/>
      <c r="BG20" s="132" t="n"/>
      <c r="BH20" s="132" t="n"/>
      <c r="BI20" s="132" t="n"/>
      <c r="BJ20" s="132" t="n"/>
      <c r="BK20" s="132" t="n"/>
      <c r="BL20" s="132" t="n"/>
      <c r="BM20" s="132" t="n"/>
      <c r="BN20" s="132" t="n"/>
      <c r="BO20" s="132" t="n"/>
      <c r="BP20" s="133" t="n"/>
      <c r="BQ20" s="60" t="n"/>
    </row>
    <row r="21" outlineLevel="1" ht="17.25" customHeight="1" s="111">
      <c r="A21" s="60" t="n"/>
      <c r="B21" s="61" t="inlineStr">
        <is>
          <t>2.2</t>
        </is>
      </c>
      <c r="C21" s="62" t="inlineStr">
        <is>
          <t>Integración de fuentes ETL (Python)</t>
        </is>
      </c>
      <c r="D21" s="127" t="inlineStr">
        <is>
          <t>Erika</t>
        </is>
      </c>
      <c r="E21" s="63" t="n">
        <v>46167</v>
      </c>
      <c r="F21" s="63" t="n">
        <v>46178</v>
      </c>
      <c r="G21" s="64">
        <f>DAYS360(E21,F21)</f>
        <v/>
      </c>
      <c r="H21" s="65" t="n">
        <v>0.16</v>
      </c>
      <c r="I21" s="153" t="n"/>
      <c r="J21" s="154" t="n"/>
      <c r="K21" s="138" t="n"/>
      <c r="L21" s="138" t="n"/>
      <c r="M21" s="138" t="n"/>
      <c r="N21" s="138" t="n"/>
      <c r="O21" s="138" t="n"/>
      <c r="P21" s="138" t="n"/>
      <c r="Q21" s="138" t="n"/>
      <c r="R21" s="138" t="n"/>
      <c r="S21" s="138" t="n"/>
      <c r="T21" s="138" t="n"/>
      <c r="U21" s="138" t="n"/>
      <c r="V21" s="138" t="n"/>
      <c r="W21" s="138" t="n"/>
      <c r="X21" s="155" t="n"/>
      <c r="Y21" s="155" t="n"/>
      <c r="Z21" s="155" t="n"/>
      <c r="AA21" s="155" t="n"/>
      <c r="AB21" s="151" t="n"/>
      <c r="AC21" s="151" t="n"/>
      <c r="AD21" s="151" t="n"/>
      <c r="AE21" s="156" t="n"/>
      <c r="AF21" s="157" t="n"/>
      <c r="AG21" s="157" t="n"/>
      <c r="AH21" s="158" t="n"/>
      <c r="AI21" s="158" t="n"/>
      <c r="AJ21" s="158" t="n"/>
      <c r="AK21" s="158" t="n"/>
      <c r="AL21" s="158" t="n"/>
      <c r="AM21" s="138" t="n"/>
      <c r="AN21" s="138" t="n"/>
      <c r="AO21" s="138" t="n"/>
      <c r="AP21" s="138" t="n"/>
      <c r="AQ21" s="138" t="n"/>
      <c r="AR21" s="138" t="n"/>
      <c r="AS21" s="138" t="n"/>
      <c r="AT21" s="138" t="n"/>
      <c r="AU21" s="138" t="n"/>
      <c r="AV21" s="138" t="n"/>
      <c r="AW21" s="138" t="n"/>
      <c r="AX21" s="138" t="n"/>
      <c r="AY21" s="138" t="n"/>
      <c r="AZ21" s="138" t="n"/>
      <c r="BA21" s="138" t="n"/>
      <c r="BB21" s="138" t="n"/>
      <c r="BC21" s="138" t="n"/>
      <c r="BD21" s="138" t="n"/>
      <c r="BE21" s="138" t="n"/>
      <c r="BF21" s="138" t="n"/>
      <c r="BG21" s="138" t="n"/>
      <c r="BH21" s="138" t="n"/>
      <c r="BI21" s="138" t="n"/>
      <c r="BJ21" s="138" t="n"/>
      <c r="BK21" s="138" t="n"/>
      <c r="BL21" s="138" t="n"/>
      <c r="BM21" s="138" t="n"/>
      <c r="BN21" s="138" t="n"/>
      <c r="BO21" s="138" t="n"/>
      <c r="BP21" s="139" t="n"/>
      <c r="BQ21" s="60" t="n"/>
    </row>
    <row r="22" outlineLevel="1" ht="17.25" customHeight="1" s="111">
      <c r="A22" s="60" t="n"/>
      <c r="B22" s="61" t="inlineStr">
        <is>
          <t>2.3</t>
        </is>
      </c>
      <c r="C22" s="62" t="inlineStr">
        <is>
          <t>Pipeline ETL + cron job diario</t>
        </is>
      </c>
      <c r="D22" s="127" t="inlineStr">
        <is>
          <t>Omar</t>
        </is>
      </c>
      <c r="E22" s="63" t="n">
        <v>46174</v>
      </c>
      <c r="F22" s="63" t="n">
        <v>46185</v>
      </c>
      <c r="G22" s="64">
        <f>DAYS360(E22,F22)</f>
        <v/>
      </c>
      <c r="H22" s="65" t="n">
        <v>0</v>
      </c>
      <c r="I22" s="153" t="n"/>
      <c r="J22" s="154" t="n"/>
      <c r="K22" s="138" t="n"/>
      <c r="L22" s="138" t="n"/>
      <c r="M22" s="138" t="n"/>
      <c r="N22" s="138" t="n"/>
      <c r="O22" s="138" t="n"/>
      <c r="P22" s="138" t="n"/>
      <c r="Q22" s="138" t="n"/>
      <c r="R22" s="138" t="n"/>
      <c r="S22" s="138" t="n"/>
      <c r="T22" s="138" t="n"/>
      <c r="U22" s="138" t="n"/>
      <c r="V22" s="138" t="n"/>
      <c r="W22" s="138" t="n"/>
      <c r="X22" s="158" t="n"/>
      <c r="Y22" s="158" t="n"/>
      <c r="Z22" s="158" t="n"/>
      <c r="AA22" s="158" t="n"/>
      <c r="AB22" s="158" t="n"/>
      <c r="AC22" s="155" t="n"/>
      <c r="AD22" s="155" t="n"/>
      <c r="AE22" s="155" t="n"/>
      <c r="AF22" s="155" t="n"/>
      <c r="AG22" s="155" t="n"/>
      <c r="AH22" s="155" t="n"/>
      <c r="AI22" s="155" t="n"/>
      <c r="AJ22" s="155" t="n"/>
      <c r="AK22" s="155" t="n"/>
      <c r="AL22" s="155" t="n"/>
      <c r="AM22" s="138" t="n"/>
      <c r="AN22" s="138" t="n"/>
      <c r="AO22" s="138" t="n"/>
      <c r="AP22" s="138" t="n"/>
      <c r="AQ22" s="138" t="n"/>
      <c r="AR22" s="138" t="n"/>
      <c r="AS22" s="138" t="n"/>
      <c r="AT22" s="138" t="n"/>
      <c r="AU22" s="138" t="n"/>
      <c r="AV22" s="138" t="n"/>
      <c r="AW22" s="138" t="n"/>
      <c r="AX22" s="138" t="n"/>
      <c r="AY22" s="138" t="n"/>
      <c r="AZ22" s="138" t="n"/>
      <c r="BA22" s="138" t="n"/>
      <c r="BB22" s="138" t="n"/>
      <c r="BC22" s="138" t="n"/>
      <c r="BD22" s="138" t="n"/>
      <c r="BE22" s="138" t="n"/>
      <c r="BF22" s="138" t="n"/>
      <c r="BG22" s="138" t="n"/>
      <c r="BH22" s="138" t="n"/>
      <c r="BI22" s="138" t="n"/>
      <c r="BJ22" s="138" t="n"/>
      <c r="BK22" s="138" t="n"/>
      <c r="BL22" s="138" t="n"/>
      <c r="BM22" s="138" t="n"/>
      <c r="BN22" s="138" t="n"/>
      <c r="BO22" s="138" t="n"/>
      <c r="BP22" s="139" t="n"/>
      <c r="BQ22" s="60" t="n"/>
    </row>
    <row r="23" outlineLevel="1" ht="17.25" customHeight="1" s="111">
      <c r="A23" s="60" t="n"/>
      <c r="B23" s="61" t="inlineStr">
        <is>
          <t>2.4</t>
        </is>
      </c>
      <c r="C23" s="62" t="inlineStr">
        <is>
          <t>EDA: estadísticas descriptivas y correlación</t>
        </is>
      </c>
      <c r="D23" s="127" t="inlineStr">
        <is>
          <t>Ximena</t>
        </is>
      </c>
      <c r="E23" s="63" t="n">
        <v>46174</v>
      </c>
      <c r="F23" s="63" t="n">
        <v>46185</v>
      </c>
      <c r="G23" s="64">
        <f>DAYS360(E23,F23)</f>
        <v/>
      </c>
      <c r="H23" s="89" t="n">
        <v>0</v>
      </c>
      <c r="I23" s="153" t="n"/>
      <c r="J23" s="154" t="n"/>
      <c r="K23" s="138" t="n"/>
      <c r="L23" s="138" t="n"/>
      <c r="M23" s="138" t="n"/>
      <c r="N23" s="138" t="n"/>
      <c r="O23" s="138" t="n"/>
      <c r="P23" s="138" t="n"/>
      <c r="Q23" s="138" t="n"/>
      <c r="R23" s="138" t="n"/>
      <c r="S23" s="138" t="n"/>
      <c r="T23" s="138" t="n"/>
      <c r="U23" s="138" t="n"/>
      <c r="V23" s="138" t="n"/>
      <c r="W23" s="138" t="n"/>
      <c r="X23" s="158" t="n"/>
      <c r="Y23" s="158" t="n"/>
      <c r="Z23" s="158" t="n"/>
      <c r="AA23" s="158" t="n"/>
      <c r="AB23" s="158" t="n"/>
      <c r="AC23" s="155" t="n"/>
      <c r="AD23" s="155" t="n"/>
      <c r="AE23" s="155" t="n"/>
      <c r="AF23" s="155" t="n"/>
      <c r="AG23" s="155" t="n"/>
      <c r="AH23" s="155" t="n"/>
      <c r="AI23" s="155" t="n"/>
      <c r="AJ23" s="155" t="n"/>
      <c r="AK23" s="155" t="n"/>
      <c r="AL23" s="155" t="n"/>
      <c r="AM23" s="138" t="n"/>
      <c r="AN23" s="138" t="n"/>
      <c r="AO23" s="138" t="n"/>
      <c r="AP23" s="138" t="n"/>
      <c r="AQ23" s="138" t="n"/>
      <c r="AR23" s="138" t="n"/>
      <c r="AS23" s="138" t="n"/>
      <c r="AT23" s="138" t="n"/>
      <c r="AU23" s="138" t="n"/>
      <c r="AV23" s="138" t="n"/>
      <c r="AW23" s="138" t="n"/>
      <c r="AX23" s="138" t="n"/>
      <c r="AY23" s="138" t="n"/>
      <c r="AZ23" s="138" t="n"/>
      <c r="BA23" s="138" t="n"/>
      <c r="BB23" s="138" t="n"/>
      <c r="BC23" s="138" t="n"/>
      <c r="BD23" s="138" t="n"/>
      <c r="BE23" s="138" t="n"/>
      <c r="BF23" s="138" t="n"/>
      <c r="BG23" s="138" t="n"/>
      <c r="BH23" s="138" t="n"/>
      <c r="BI23" s="138" t="n"/>
      <c r="BJ23" s="138" t="n"/>
      <c r="BK23" s="138" t="n"/>
      <c r="BL23" s="138" t="n"/>
      <c r="BM23" s="138" t="n"/>
      <c r="BN23" s="138" t="n"/>
      <c r="BO23" s="138" t="n"/>
      <c r="BP23" s="139" t="n"/>
      <c r="BQ23" s="60" t="n"/>
    </row>
    <row r="24" ht="21" customHeight="1" s="111">
      <c r="A24" s="31" t="n"/>
      <c r="B24" s="53" t="n">
        <v>3</v>
      </c>
      <c r="C24" s="54" t="inlineStr">
        <is>
          <t>Feature Engineering y Machine Learning</t>
        </is>
      </c>
      <c r="D24" s="55" t="n"/>
      <c r="E24" s="55" t="n"/>
      <c r="F24" s="55" t="n"/>
      <c r="G24" s="55" t="n"/>
      <c r="H24" s="55" t="n"/>
      <c r="I24" s="124" t="n"/>
      <c r="J24" s="125" t="n"/>
      <c r="K24" s="126" t="n"/>
      <c r="L24" s="126" t="n"/>
      <c r="M24" s="124" t="n"/>
      <c r="N24" s="124" t="n"/>
      <c r="O24" s="124" t="n"/>
      <c r="P24" s="124" t="n"/>
      <c r="Q24" s="124" t="n"/>
      <c r="R24" s="124" t="n"/>
      <c r="S24" s="124" t="n"/>
      <c r="T24" s="124" t="n"/>
      <c r="U24" s="124" t="n"/>
      <c r="V24" s="124" t="n"/>
      <c r="W24" s="124" t="n"/>
      <c r="X24" s="124" t="n"/>
      <c r="Y24" s="124" t="n"/>
      <c r="Z24" s="124" t="n"/>
      <c r="AA24" s="124" t="n"/>
      <c r="AB24" s="124" t="n"/>
      <c r="AC24" s="124" t="n"/>
      <c r="AD24" s="124" t="n"/>
      <c r="AE24" s="124" t="n"/>
      <c r="AF24" s="124" t="n"/>
      <c r="AG24" s="124" t="n"/>
      <c r="AH24" s="124" t="n"/>
      <c r="AI24" s="124" t="n"/>
      <c r="AJ24" s="124" t="n"/>
      <c r="AK24" s="124" t="n"/>
      <c r="AL24" s="124" t="n"/>
      <c r="AM24" s="124" t="n"/>
      <c r="AN24" s="124" t="n"/>
      <c r="AO24" s="124" t="n"/>
      <c r="AP24" s="124" t="n"/>
      <c r="AQ24" s="124" t="n"/>
      <c r="AR24" s="124" t="n"/>
      <c r="AS24" s="124" t="n"/>
      <c r="AT24" s="124" t="n"/>
      <c r="AU24" s="124" t="n"/>
      <c r="AV24" s="124" t="n"/>
      <c r="AW24" s="124" t="n"/>
      <c r="AX24" s="124" t="n"/>
      <c r="AY24" s="124" t="n"/>
      <c r="AZ24" s="124" t="n"/>
      <c r="BA24" s="124" t="n"/>
      <c r="BB24" s="124" t="n"/>
      <c r="BC24" s="124" t="n"/>
      <c r="BD24" s="124" t="n"/>
      <c r="BE24" s="124" t="n"/>
      <c r="BF24" s="124" t="n"/>
      <c r="BG24" s="124" t="n"/>
      <c r="BH24" s="124" t="n"/>
      <c r="BI24" s="124" t="n"/>
      <c r="BJ24" s="124" t="n"/>
      <c r="BK24" s="124" t="n"/>
      <c r="BL24" s="124" t="n"/>
      <c r="BM24" s="124" t="n"/>
      <c r="BN24" s="124" t="n"/>
      <c r="BO24" s="124" t="n"/>
      <c r="BP24" s="124" t="n"/>
      <c r="BQ24" s="31" t="n"/>
    </row>
    <row r="25" outlineLevel="1" ht="17.25" customHeight="1" s="111">
      <c r="A25" s="60" t="n"/>
      <c r="B25" s="61" t="inlineStr">
        <is>
          <t>3.1</t>
        </is>
      </c>
      <c r="C25" s="62" t="inlineStr">
        <is>
          <t>Test de estacionariedad (ADF)</t>
        </is>
      </c>
      <c r="D25" s="127" t="inlineStr">
        <is>
          <t>Erika</t>
        </is>
      </c>
      <c r="E25" s="63" t="n">
        <v>46188</v>
      </c>
      <c r="F25" s="63" t="n">
        <v>46192</v>
      </c>
      <c r="G25" s="64">
        <f>DAYS360(E25,F25)</f>
        <v/>
      </c>
      <c r="H25" s="65" t="n">
        <v>0</v>
      </c>
      <c r="I25" s="149" t="n"/>
      <c r="J25" s="150" t="n"/>
      <c r="K25" s="132" t="n"/>
      <c r="L25" s="132" t="n"/>
      <c r="M25" s="132" t="n"/>
      <c r="N25" s="138" t="n"/>
      <c r="O25" s="138" t="n"/>
      <c r="P25" s="138" t="n"/>
      <c r="Q25" s="138" t="n"/>
      <c r="R25" s="138" t="n"/>
      <c r="S25" s="132" t="n"/>
      <c r="T25" s="132" t="n"/>
      <c r="U25" s="132" t="n"/>
      <c r="V25" s="132" t="n"/>
      <c r="W25" s="132" t="n"/>
      <c r="X25" s="132" t="n"/>
      <c r="Y25" s="132" t="n"/>
      <c r="Z25" s="132" t="n"/>
      <c r="AA25" s="132" t="n"/>
      <c r="AB25" s="132" t="n"/>
      <c r="AC25" s="132" t="n"/>
      <c r="AD25" s="132" t="n"/>
      <c r="AE25" s="132" t="n"/>
      <c r="AF25" s="132" t="n"/>
      <c r="AG25" s="132" t="n"/>
      <c r="AH25" s="132" t="n"/>
      <c r="AI25" s="132" t="n"/>
      <c r="AJ25" s="132" t="n"/>
      <c r="AK25" s="132" t="n"/>
      <c r="AL25" s="132" t="n"/>
      <c r="AM25" s="159" t="n"/>
      <c r="AN25" s="159" t="n"/>
      <c r="AO25" s="159" t="n"/>
      <c r="AP25" s="159" t="n"/>
      <c r="AQ25" s="159" t="n"/>
      <c r="AR25" s="160" t="n"/>
      <c r="AS25" s="160" t="n"/>
      <c r="AT25" s="160" t="n"/>
      <c r="AU25" s="160" t="n"/>
      <c r="AV25" s="160" t="n"/>
      <c r="AW25" s="160" t="n"/>
      <c r="AX25" s="160" t="n"/>
      <c r="AY25" s="160" t="n"/>
      <c r="AZ25" s="160" t="n"/>
      <c r="BA25" s="160" t="n"/>
      <c r="BB25" s="132" t="n"/>
      <c r="BC25" s="132" t="n"/>
      <c r="BD25" s="132" t="n"/>
      <c r="BE25" s="132" t="n"/>
      <c r="BF25" s="132" t="n"/>
      <c r="BG25" s="132" t="n"/>
      <c r="BH25" s="132" t="n"/>
      <c r="BI25" s="132" t="n"/>
      <c r="BJ25" s="132" t="n"/>
      <c r="BK25" s="132" t="n"/>
      <c r="BL25" s="132" t="n"/>
      <c r="BM25" s="132" t="n"/>
      <c r="BN25" s="132" t="n"/>
      <c r="BO25" s="132" t="n"/>
      <c r="BP25" s="133" t="n"/>
      <c r="BQ25" s="60" t="n"/>
    </row>
    <row r="26" outlineLevel="1" ht="17.25" customHeight="1" s="111">
      <c r="A26" s="60" t="n"/>
      <c r="B26" s="61" t="inlineStr">
        <is>
          <t>3.2</t>
        </is>
      </c>
      <c r="C26" s="62" t="inlineStr">
        <is>
          <t>Calcular ETc ajustada y balance hídrico</t>
        </is>
      </c>
      <c r="D26" s="127" t="inlineStr">
        <is>
          <t>Omar</t>
        </is>
      </c>
      <c r="E26" s="63" t="n">
        <v>46188</v>
      </c>
      <c r="F26" s="63" t="n">
        <v>46199</v>
      </c>
      <c r="G26" s="64">
        <f>DAYS360(E26,F26)</f>
        <v/>
      </c>
      <c r="H26" s="65" t="n">
        <v>0</v>
      </c>
      <c r="I26" s="153" t="n"/>
      <c r="J26" s="154" t="n"/>
      <c r="K26" s="138" t="n"/>
      <c r="L26" s="138" t="n"/>
      <c r="M26" s="138" t="n"/>
      <c r="N26" s="138" t="n"/>
      <c r="O26" s="138" t="n"/>
      <c r="P26" s="138" t="n"/>
      <c r="Q26" s="138" t="n"/>
      <c r="R26" s="138" t="n"/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  <c r="AC26" s="138" t="n"/>
      <c r="AD26" s="138" t="n"/>
      <c r="AE26" s="138" t="n"/>
      <c r="AF26" s="138" t="n"/>
      <c r="AG26" s="138" t="n"/>
      <c r="AH26" s="138" t="n"/>
      <c r="AI26" s="138" t="n"/>
      <c r="AJ26" s="138" t="n"/>
      <c r="AK26" s="138" t="n"/>
      <c r="AL26" s="138" t="n"/>
      <c r="AM26" s="161" t="n"/>
      <c r="AN26" s="161" t="n"/>
      <c r="AO26" s="161" t="n"/>
      <c r="AP26" s="161" t="n"/>
      <c r="AQ26" s="161" t="n"/>
      <c r="AR26" s="161" t="n"/>
      <c r="AS26" s="161" t="n"/>
      <c r="AT26" s="161" t="n"/>
      <c r="AU26" s="161" t="n"/>
      <c r="AV26" s="161" t="n"/>
      <c r="AW26" s="162" t="n"/>
      <c r="AX26" s="162" t="n"/>
      <c r="AY26" s="162" t="n"/>
      <c r="AZ26" s="162" t="n"/>
      <c r="BA26" s="162" t="n"/>
      <c r="BB26" s="138" t="n"/>
      <c r="BC26" s="138" t="n"/>
      <c r="BD26" s="138" t="n"/>
      <c r="BE26" s="138" t="n"/>
      <c r="BF26" s="138" t="n"/>
      <c r="BG26" s="138" t="n"/>
      <c r="BH26" s="138" t="n"/>
      <c r="BI26" s="138" t="n"/>
      <c r="BJ26" s="138" t="n"/>
      <c r="BK26" s="138" t="n"/>
      <c r="BL26" s="138" t="n"/>
      <c r="BM26" s="138" t="n"/>
      <c r="BN26" s="138" t="n"/>
      <c r="BO26" s="138" t="n"/>
      <c r="BP26" s="139" t="n"/>
      <c r="BQ26" s="60" t="n"/>
    </row>
    <row r="27" outlineLevel="1" ht="17.25" customHeight="1" s="111">
      <c r="A27" s="60" t="n"/>
      <c r="B27" s="77" t="inlineStr">
        <is>
          <t>3.3</t>
        </is>
      </c>
      <c r="C27" s="62" t="inlineStr">
        <is>
          <t>Indicadores agrícolas (Kc, Ks, Pe)</t>
        </is>
      </c>
      <c r="D27" s="127" t="inlineStr">
        <is>
          <t>Ximena</t>
        </is>
      </c>
      <c r="E27" s="63" t="n">
        <v>46195</v>
      </c>
      <c r="F27" s="63" t="n">
        <v>46199</v>
      </c>
      <c r="G27" s="64">
        <f>DAYS360(E27,F27)</f>
        <v/>
      </c>
      <c r="H27" s="65" t="n">
        <v>0</v>
      </c>
      <c r="I27" s="153" t="n"/>
      <c r="J27" s="154" t="n"/>
      <c r="K27" s="138" t="n"/>
      <c r="L27" s="138" t="n"/>
      <c r="M27" s="138" t="n"/>
      <c r="N27" s="138" t="n"/>
      <c r="O27" s="138" t="n"/>
      <c r="P27" s="138" t="n"/>
      <c r="Q27" s="138" t="n"/>
      <c r="R27" s="138" t="n"/>
      <c r="S27" s="132" t="n"/>
      <c r="T27" s="132" t="n"/>
      <c r="U27" s="132" t="n"/>
      <c r="V27" s="132" t="n"/>
      <c r="W27" s="138" t="n"/>
      <c r="X27" s="138" t="n"/>
      <c r="Y27" s="138" t="n"/>
      <c r="Z27" s="138" t="n"/>
      <c r="AA27" s="138" t="n"/>
      <c r="AB27" s="138" t="n"/>
      <c r="AC27" s="138" t="n"/>
      <c r="AD27" s="138" t="n"/>
      <c r="AE27" s="138" t="n"/>
      <c r="AF27" s="138" t="n"/>
      <c r="AG27" s="138" t="n"/>
      <c r="AH27" s="138" t="n"/>
      <c r="AI27" s="138" t="n"/>
      <c r="AJ27" s="138" t="n"/>
      <c r="AK27" s="138" t="n"/>
      <c r="AL27" s="138" t="n"/>
      <c r="AM27" s="162" t="n"/>
      <c r="AN27" s="162" t="n"/>
      <c r="AO27" s="162" t="n"/>
      <c r="AP27" s="162" t="n"/>
      <c r="AQ27" s="162" t="n"/>
      <c r="AR27" s="161" t="n"/>
      <c r="AS27" s="161" t="n"/>
      <c r="AT27" s="161" t="n"/>
      <c r="AU27" s="161" t="n"/>
      <c r="AV27" s="161" t="n"/>
      <c r="AW27" s="162" t="n"/>
      <c r="AX27" s="162" t="n"/>
      <c r="AY27" s="162" t="n"/>
      <c r="AZ27" s="162" t="n"/>
      <c r="BA27" s="162" t="n"/>
      <c r="BB27" s="138" t="n"/>
      <c r="BC27" s="138" t="n"/>
      <c r="BD27" s="138" t="n"/>
      <c r="BE27" s="138" t="n"/>
      <c r="BF27" s="138" t="n"/>
      <c r="BG27" s="138" t="n"/>
      <c r="BH27" s="138" t="n"/>
      <c r="BI27" s="138" t="n"/>
      <c r="BJ27" s="138" t="n"/>
      <c r="BK27" s="138" t="n"/>
      <c r="BL27" s="138" t="n"/>
      <c r="BM27" s="138" t="n"/>
      <c r="BN27" s="138" t="n"/>
      <c r="BO27" s="138" t="n"/>
      <c r="BP27" s="139" t="n"/>
      <c r="BQ27" s="60" t="n"/>
    </row>
    <row r="28" outlineLevel="1" ht="17.25" customHeight="1" s="111">
      <c r="A28" s="60" t="n"/>
      <c r="B28" s="77" t="inlineStr">
        <is>
          <t>3.3.1</t>
        </is>
      </c>
      <c r="C28" s="62" t="inlineStr">
        <is>
          <t>Implementar modelos ML (FAO-56 + RF)</t>
        </is>
      </c>
      <c r="D28" s="127" t="inlineStr">
        <is>
          <t>Erika</t>
        </is>
      </c>
      <c r="E28" s="63" t="n">
        <v>46195</v>
      </c>
      <c r="F28" s="63" t="n">
        <v>46206</v>
      </c>
      <c r="G28" s="64">
        <f>DAYS360(E28,F28)</f>
        <v/>
      </c>
      <c r="H28" s="89" t="n">
        <v>0</v>
      </c>
      <c r="I28" s="153" t="n"/>
      <c r="J28" s="154" t="n"/>
      <c r="K28" s="138" t="n"/>
      <c r="L28" s="138" t="n"/>
      <c r="M28" s="138" t="n"/>
      <c r="N28" s="138" t="n"/>
      <c r="O28" s="138" t="n"/>
      <c r="P28" s="138" t="n"/>
      <c r="Q28" s="138" t="n"/>
      <c r="R28" s="138" t="n"/>
      <c r="S28" s="132" t="n"/>
      <c r="T28" s="132" t="n"/>
      <c r="U28" s="132" t="n"/>
      <c r="V28" s="132" t="n"/>
      <c r="W28" s="138" t="n"/>
      <c r="X28" s="138" t="n"/>
      <c r="Y28" s="138" t="n"/>
      <c r="Z28" s="138" t="n"/>
      <c r="AA28" s="138" t="n"/>
      <c r="AB28" s="138" t="n"/>
      <c r="AC28" s="138" t="n"/>
      <c r="AD28" s="138" t="n"/>
      <c r="AE28" s="138" t="n"/>
      <c r="AF28" s="138" t="n"/>
      <c r="AG28" s="138" t="n"/>
      <c r="AH28" s="138" t="n"/>
      <c r="AI28" s="138" t="n"/>
      <c r="AJ28" s="138" t="n"/>
      <c r="AK28" s="138" t="n"/>
      <c r="AL28" s="138" t="n"/>
      <c r="AM28" s="162" t="n"/>
      <c r="AN28" s="162" t="n"/>
      <c r="AO28" s="162" t="n"/>
      <c r="AP28" s="162" t="n"/>
      <c r="AQ28" s="162" t="n"/>
      <c r="AR28" s="161" t="n"/>
      <c r="AS28" s="161" t="n"/>
      <c r="AT28" s="161" t="n"/>
      <c r="AU28" s="161" t="n"/>
      <c r="AV28" s="161" t="n"/>
      <c r="AW28" s="161" t="n"/>
      <c r="AX28" s="161" t="n"/>
      <c r="AY28" s="161" t="n"/>
      <c r="AZ28" s="161" t="n"/>
      <c r="BA28" s="161" t="n"/>
      <c r="BB28" s="138" t="n"/>
      <c r="BC28" s="138" t="n"/>
      <c r="BD28" s="138" t="n"/>
      <c r="BE28" s="138" t="n"/>
      <c r="BF28" s="138" t="n"/>
      <c r="BG28" s="138" t="n"/>
      <c r="BH28" s="138" t="n"/>
      <c r="BI28" s="138" t="n"/>
      <c r="BJ28" s="138" t="n"/>
      <c r="BK28" s="138" t="n"/>
      <c r="BL28" s="138" t="n"/>
      <c r="BM28" s="138" t="n"/>
      <c r="BN28" s="138" t="n"/>
      <c r="BO28" s="138" t="n"/>
      <c r="BP28" s="139" t="n"/>
      <c r="BQ28" s="60" t="n"/>
    </row>
    <row r="29" outlineLevel="1" ht="17.25" customHeight="1" s="111">
      <c r="A29" s="60" t="n"/>
      <c r="B29" s="61" t="inlineStr">
        <is>
          <t>3.3.2</t>
        </is>
      </c>
      <c r="C29" s="62" t="inlineStr">
        <is>
          <t>Clustering K-Means de parcelas</t>
        </is>
      </c>
      <c r="D29" s="127" t="inlineStr">
        <is>
          <t>Omar</t>
        </is>
      </c>
      <c r="E29" s="63" t="n">
        <v>46195</v>
      </c>
      <c r="F29" s="63" t="n">
        <v>46206</v>
      </c>
      <c r="G29" s="64">
        <f>DAYS360(E29,F29)</f>
        <v/>
      </c>
      <c r="H29" s="65" t="n">
        <v>0</v>
      </c>
      <c r="I29" s="153" t="n"/>
      <c r="J29" s="154" t="n"/>
      <c r="K29" s="138" t="n"/>
      <c r="L29" s="138" t="n"/>
      <c r="M29" s="138" t="n"/>
      <c r="N29" s="138" t="n"/>
      <c r="O29" s="138" t="n"/>
      <c r="P29" s="138" t="n"/>
      <c r="Q29" s="138" t="n"/>
      <c r="R29" s="138" t="n"/>
      <c r="S29" s="132" t="n"/>
      <c r="T29" s="132" t="n"/>
      <c r="U29" s="132" t="n"/>
      <c r="V29" s="132" t="n"/>
      <c r="W29" s="138" t="n"/>
      <c r="X29" s="138" t="n"/>
      <c r="Y29" s="138" t="n"/>
      <c r="Z29" s="138" t="n"/>
      <c r="AA29" s="138" t="n"/>
      <c r="AB29" s="138" t="n"/>
      <c r="AC29" s="138" t="n"/>
      <c r="AD29" s="138" t="n"/>
      <c r="AE29" s="138" t="n"/>
      <c r="AF29" s="138" t="n"/>
      <c r="AG29" s="138" t="n"/>
      <c r="AH29" s="138" t="n"/>
      <c r="AI29" s="138" t="n"/>
      <c r="AJ29" s="138" t="n"/>
      <c r="AK29" s="138" t="n"/>
      <c r="AL29" s="138" t="n"/>
      <c r="AM29" s="162" t="n"/>
      <c r="AN29" s="162" t="n"/>
      <c r="AO29" s="162" t="n"/>
      <c r="AP29" s="162" t="n"/>
      <c r="AQ29" s="162" t="n"/>
      <c r="AR29" s="161" t="n"/>
      <c r="AS29" s="161" t="n"/>
      <c r="AT29" s="161" t="n"/>
      <c r="AU29" s="161" t="n"/>
      <c r="AV29" s="161" t="n"/>
      <c r="AW29" s="161" t="n"/>
      <c r="AX29" s="161" t="n"/>
      <c r="AY29" s="161" t="n"/>
      <c r="AZ29" s="161" t="n"/>
      <c r="BA29" s="161" t="n"/>
      <c r="BB29" s="138" t="n"/>
      <c r="BC29" s="138" t="n"/>
      <c r="BD29" s="138" t="n"/>
      <c r="BE29" s="138" t="n"/>
      <c r="BF29" s="138" t="n"/>
      <c r="BG29" s="138" t="n"/>
      <c r="BH29" s="138" t="n"/>
      <c r="BI29" s="138" t="n"/>
      <c r="BJ29" s="138" t="n"/>
      <c r="BK29" s="138" t="n"/>
      <c r="BL29" s="138" t="n"/>
      <c r="BM29" s="138" t="n"/>
      <c r="BN29" s="138" t="n"/>
      <c r="BO29" s="138" t="n"/>
      <c r="BP29" s="139" t="n"/>
      <c r="BQ29" s="60" t="n"/>
    </row>
    <row r="30" outlineLevel="1" ht="17.25" customHeight="1" s="111">
      <c r="A30" s="60" t="n"/>
      <c r="B30" s="77" t="inlineStr">
        <is>
          <t>3.4</t>
        </is>
      </c>
      <c r="C30" s="62" t="inlineStr">
        <is>
          <t>Validar modelos (cross-validation)</t>
        </is>
      </c>
      <c r="D30" s="127" t="inlineStr">
        <is>
          <t>Ximena</t>
        </is>
      </c>
      <c r="E30" s="63" t="n">
        <v>46202</v>
      </c>
      <c r="F30" s="63" t="n">
        <v>46206</v>
      </c>
      <c r="G30" s="64">
        <f>DAYS360(E30,F30)</f>
        <v/>
      </c>
      <c r="H30" s="65" t="n">
        <v>0</v>
      </c>
      <c r="I30" s="153" t="n"/>
      <c r="J30" s="154" t="n"/>
      <c r="K30" s="138" t="n"/>
      <c r="L30" s="138" t="n"/>
      <c r="M30" s="138" t="n"/>
      <c r="N30" s="138" t="n"/>
      <c r="O30" s="138" t="n"/>
      <c r="P30" s="138" t="n"/>
      <c r="Q30" s="138" t="n"/>
      <c r="R30" s="138" t="n"/>
      <c r="S30" s="132" t="n"/>
      <c r="T30" s="132" t="n"/>
      <c r="U30" s="132" t="n"/>
      <c r="V30" s="132" t="n"/>
      <c r="W30" s="138" t="n"/>
      <c r="X30" s="138" t="n"/>
      <c r="Y30" s="138" t="n"/>
      <c r="Z30" s="138" t="n"/>
      <c r="AA30" s="138" t="n"/>
      <c r="AB30" s="138" t="n"/>
      <c r="AC30" s="138" t="n"/>
      <c r="AD30" s="138" t="n"/>
      <c r="AE30" s="138" t="n"/>
      <c r="AF30" s="138" t="n"/>
      <c r="AG30" s="138" t="n"/>
      <c r="AH30" s="138" t="n"/>
      <c r="AI30" s="138" t="n"/>
      <c r="AJ30" s="138" t="n"/>
      <c r="AK30" s="138" t="n"/>
      <c r="AL30" s="138" t="n"/>
      <c r="AM30" s="162" t="n"/>
      <c r="AN30" s="162" t="n"/>
      <c r="AO30" s="162" t="n"/>
      <c r="AP30" s="162" t="n"/>
      <c r="AQ30" s="162" t="n"/>
      <c r="AR30" s="162" t="n"/>
      <c r="AS30" s="162" t="n"/>
      <c r="AT30" s="162" t="n"/>
      <c r="AU30" s="162" t="n"/>
      <c r="AV30" s="162" t="n"/>
      <c r="AW30" s="161" t="n"/>
      <c r="AX30" s="161" t="n"/>
      <c r="AY30" s="161" t="n"/>
      <c r="AZ30" s="161" t="n"/>
      <c r="BA30" s="161" t="n"/>
      <c r="BB30" s="138" t="n"/>
      <c r="BC30" s="138" t="n"/>
      <c r="BD30" s="138" t="n"/>
      <c r="BE30" s="138" t="n"/>
      <c r="BF30" s="138" t="n"/>
      <c r="BG30" s="138" t="n"/>
      <c r="BH30" s="138" t="n"/>
      <c r="BI30" s="138" t="n"/>
      <c r="BJ30" s="138" t="n"/>
      <c r="BK30" s="138" t="n"/>
      <c r="BL30" s="138" t="n"/>
      <c r="BM30" s="138" t="n"/>
      <c r="BN30" s="138" t="n"/>
      <c r="BO30" s="138" t="n"/>
      <c r="BP30" s="139" t="n"/>
      <c r="BQ30" s="60" t="n"/>
    </row>
    <row r="31" ht="21" customHeight="1" s="111">
      <c r="A31" s="31" t="n"/>
      <c r="B31" s="53" t="n">
        <v>4</v>
      </c>
      <c r="C31" s="54" t="inlineStr">
        <is>
          <t>Implementación del Sistema MILPÍN</t>
        </is>
      </c>
      <c r="D31" s="55" t="n"/>
      <c r="E31" s="55" t="n"/>
      <c r="F31" s="55" t="n"/>
      <c r="G31" s="55" t="n"/>
      <c r="H31" s="55" t="n"/>
      <c r="I31" s="124" t="n"/>
      <c r="J31" s="125" t="n"/>
      <c r="K31" s="126" t="n"/>
      <c r="L31" s="126" t="n"/>
      <c r="M31" s="124" t="n"/>
      <c r="N31" s="124" t="n"/>
      <c r="O31" s="124" t="n"/>
      <c r="P31" s="124" t="n"/>
      <c r="Q31" s="124" t="n"/>
      <c r="R31" s="124" t="n"/>
      <c r="S31" s="124" t="n"/>
      <c r="T31" s="124" t="n"/>
      <c r="U31" s="124" t="n"/>
      <c r="V31" s="124" t="n"/>
      <c r="W31" s="124" t="n"/>
      <c r="X31" s="124" t="n"/>
      <c r="Y31" s="124" t="n"/>
      <c r="Z31" s="124" t="n"/>
      <c r="AA31" s="124" t="n"/>
      <c r="AB31" s="124" t="n"/>
      <c r="AC31" s="124" t="n"/>
      <c r="AD31" s="124" t="n"/>
      <c r="AE31" s="124" t="n"/>
      <c r="AF31" s="124" t="n"/>
      <c r="AG31" s="124" t="n"/>
      <c r="AH31" s="124" t="n"/>
      <c r="AI31" s="124" t="n"/>
      <c r="AJ31" s="124" t="n"/>
      <c r="AK31" s="124" t="n"/>
      <c r="AL31" s="124" t="n"/>
      <c r="AM31" s="124" t="n"/>
      <c r="AN31" s="124" t="n"/>
      <c r="AO31" s="124" t="n"/>
      <c r="AP31" s="124" t="n"/>
      <c r="AQ31" s="124" t="n"/>
      <c r="AR31" s="124" t="n"/>
      <c r="AS31" s="124" t="n"/>
      <c r="AT31" s="124" t="n"/>
      <c r="AU31" s="124" t="n"/>
      <c r="AV31" s="124" t="n"/>
      <c r="AW31" s="124" t="n"/>
      <c r="AX31" s="124" t="n"/>
      <c r="AY31" s="124" t="n"/>
      <c r="AZ31" s="124" t="n"/>
      <c r="BA31" s="124" t="n"/>
      <c r="BB31" s="124" t="n"/>
      <c r="BC31" s="124" t="n"/>
      <c r="BD31" s="124" t="n"/>
      <c r="BE31" s="124" t="n"/>
      <c r="BF31" s="124" t="n"/>
      <c r="BG31" s="124" t="n"/>
      <c r="BH31" s="124" t="n"/>
      <c r="BI31" s="124" t="n"/>
      <c r="BJ31" s="124" t="n"/>
      <c r="BK31" s="124" t="n"/>
      <c r="BL31" s="124" t="n"/>
      <c r="BM31" s="124" t="n"/>
      <c r="BN31" s="124" t="n"/>
      <c r="BO31" s="124" t="n"/>
      <c r="BP31" s="124" t="n"/>
      <c r="BQ31" s="31" t="n"/>
    </row>
    <row r="32" outlineLevel="1" ht="17.25" customHeight="1" s="111">
      <c r="A32" s="60" t="n"/>
      <c r="B32" s="61" t="inlineStr">
        <is>
          <t>4.1</t>
        </is>
      </c>
      <c r="C32" s="62" t="inlineStr">
        <is>
          <t>Backend FastAPI + PostGIS endpoints CRUD</t>
        </is>
      </c>
      <c r="D32" s="127" t="inlineStr">
        <is>
          <t>Erika</t>
        </is>
      </c>
      <c r="E32" s="63" t="n">
        <v>46209</v>
      </c>
      <c r="F32" s="63" t="n">
        <v>46220</v>
      </c>
      <c r="G32" s="64">
        <f>DAYS360(E32,F32)</f>
        <v/>
      </c>
      <c r="H32" s="65" t="n">
        <v>0</v>
      </c>
      <c r="I32" s="149" t="n"/>
      <c r="J32" s="150" t="n"/>
      <c r="K32" s="132" t="n"/>
      <c r="L32" s="132" t="n"/>
      <c r="M32" s="132" t="n"/>
      <c r="N32" s="132" t="n"/>
      <c r="O32" s="132" t="n"/>
      <c r="P32" s="132" t="n"/>
      <c r="Q32" s="132" t="n"/>
      <c r="R32" s="132" t="n"/>
      <c r="S32" s="132" t="n"/>
      <c r="T32" s="132" t="n"/>
      <c r="U32" s="132" t="n"/>
      <c r="V32" s="132" t="n"/>
      <c r="W32" s="132" t="n"/>
      <c r="X32" s="132" t="n"/>
      <c r="Y32" s="132" t="n"/>
      <c r="Z32" s="132" t="n"/>
      <c r="AA32" s="132" t="n"/>
      <c r="AB32" s="132" t="n"/>
      <c r="AC32" s="132" t="n"/>
      <c r="AD32" s="132" t="n"/>
      <c r="AE32" s="132" t="n"/>
      <c r="AF32" s="132" t="n"/>
      <c r="AG32" s="132" t="n"/>
      <c r="AH32" s="132" t="n"/>
      <c r="AI32" s="132" t="n"/>
      <c r="AJ32" s="132" t="n"/>
      <c r="AK32" s="132" t="n"/>
      <c r="AL32" s="132" t="n"/>
      <c r="AM32" s="132" t="n"/>
      <c r="AN32" s="132" t="n"/>
      <c r="AO32" s="132" t="n"/>
      <c r="AP32" s="132" t="n"/>
      <c r="AQ32" s="132" t="n"/>
      <c r="AR32" s="132" t="n"/>
      <c r="AS32" s="132" t="n"/>
      <c r="AT32" s="132" t="n"/>
      <c r="AU32" s="132" t="n"/>
      <c r="AV32" s="132" t="n"/>
      <c r="AW32" s="132" t="n"/>
      <c r="AX32" s="132" t="n"/>
      <c r="AY32" s="132" t="n"/>
      <c r="AZ32" s="132" t="n"/>
      <c r="BA32" s="132" t="n"/>
      <c r="BB32" s="163" t="n"/>
      <c r="BC32" s="163" t="n"/>
      <c r="BD32" s="163" t="n"/>
      <c r="BE32" s="163" t="n"/>
      <c r="BF32" s="163" t="n"/>
      <c r="BG32" s="163" t="n"/>
      <c r="BH32" s="163" t="n"/>
      <c r="BI32" s="163" t="n"/>
      <c r="BJ32" s="163" t="n"/>
      <c r="BK32" s="163" t="n"/>
      <c r="BL32" s="164" t="n"/>
      <c r="BM32" s="164" t="n"/>
      <c r="BN32" s="164" t="n"/>
      <c r="BO32" s="164" t="n"/>
      <c r="BP32" s="165" t="n"/>
      <c r="BQ32" s="60" t="n"/>
    </row>
    <row r="33" outlineLevel="1" ht="17.25" customHeight="1" s="111">
      <c r="A33" s="60" t="n"/>
      <c r="B33" s="61" t="inlineStr">
        <is>
          <t>4.2</t>
        </is>
      </c>
      <c r="C33" s="62" t="inlineStr">
        <is>
          <t>Frontend GIS Leaflet + capas PostGIS</t>
        </is>
      </c>
      <c r="D33" s="127" t="inlineStr">
        <is>
          <t>Omar</t>
        </is>
      </c>
      <c r="E33" s="63" t="n">
        <v>46216</v>
      </c>
      <c r="F33" s="63" t="n">
        <v>46220</v>
      </c>
      <c r="G33" s="64">
        <f>DAYS360(E33,F33)</f>
        <v/>
      </c>
      <c r="H33" s="65" t="n">
        <v>0</v>
      </c>
      <c r="I33" s="153" t="n"/>
      <c r="J33" s="154" t="n"/>
      <c r="K33" s="138" t="n"/>
      <c r="L33" s="138" t="n"/>
      <c r="M33" s="138" t="n"/>
      <c r="N33" s="132" t="n"/>
      <c r="O33" s="132" t="n"/>
      <c r="P33" s="132" t="n"/>
      <c r="Q33" s="132" t="n"/>
      <c r="R33" s="132" t="n"/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  <c r="AC33" s="138" t="n"/>
      <c r="AD33" s="138" t="n"/>
      <c r="AE33" s="138" t="n"/>
      <c r="AF33" s="138" t="n"/>
      <c r="AG33" s="138" t="n"/>
      <c r="AH33" s="138" t="n"/>
      <c r="AI33" s="138" t="n"/>
      <c r="AJ33" s="138" t="n"/>
      <c r="AK33" s="138" t="n"/>
      <c r="AL33" s="138" t="n"/>
      <c r="AM33" s="138" t="n"/>
      <c r="AN33" s="138" t="n"/>
      <c r="AO33" s="138" t="n"/>
      <c r="AP33" s="138" t="n"/>
      <c r="AQ33" s="138" t="n"/>
      <c r="AR33" s="138" t="n"/>
      <c r="AS33" s="138" t="n"/>
      <c r="AT33" s="138" t="n"/>
      <c r="AU33" s="138" t="n"/>
      <c r="AV33" s="138" t="n"/>
      <c r="AW33" s="138" t="n"/>
      <c r="AX33" s="138" t="n"/>
      <c r="AY33" s="138" t="n"/>
      <c r="AZ33" s="138" t="n"/>
      <c r="BA33" s="138" t="n"/>
      <c r="BB33" s="166" t="n"/>
      <c r="BC33" s="166" t="n"/>
      <c r="BD33" s="166" t="n"/>
      <c r="BE33" s="166" t="n"/>
      <c r="BF33" s="166" t="n"/>
      <c r="BG33" s="167" t="n"/>
      <c r="BH33" s="167" t="n"/>
      <c r="BI33" s="167" t="n"/>
      <c r="BJ33" s="167" t="n"/>
      <c r="BK33" s="167" t="n"/>
      <c r="BL33" s="166" t="n"/>
      <c r="BM33" s="166" t="n"/>
      <c r="BN33" s="166" t="n"/>
      <c r="BO33" s="166" t="n"/>
      <c r="BP33" s="168" t="n"/>
      <c r="BQ33" s="60" t="n"/>
    </row>
    <row r="34" outlineLevel="1" ht="17.25" customHeight="1" s="111">
      <c r="A34" s="60" t="n"/>
      <c r="B34" s="61" t="inlineStr">
        <is>
          <t>4.3</t>
        </is>
      </c>
      <c r="C34" s="62" t="inlineStr">
        <is>
          <t>Pipeline de voz Whisper + Ollama NLU</t>
        </is>
      </c>
      <c r="D34" s="127" t="inlineStr">
        <is>
          <t>Ximena</t>
        </is>
      </c>
      <c r="E34" s="63" t="n">
        <v>46216</v>
      </c>
      <c r="F34" s="63" t="n">
        <v>46227</v>
      </c>
      <c r="G34" s="64">
        <f>DAYS360(E34,F34)</f>
        <v/>
      </c>
      <c r="H34" s="65" t="n">
        <v>0</v>
      </c>
      <c r="I34" s="153" t="n"/>
      <c r="J34" s="154" t="n"/>
      <c r="K34" s="138" t="n"/>
      <c r="L34" s="138" t="n"/>
      <c r="M34" s="138" t="n"/>
      <c r="N34" s="132" t="n"/>
      <c r="O34" s="132" t="n"/>
      <c r="P34" s="132" t="n"/>
      <c r="Q34" s="132" t="n"/>
      <c r="R34" s="132" t="n"/>
      <c r="S34" s="132" t="n"/>
      <c r="T34" s="132" t="n"/>
      <c r="U34" s="132" t="n"/>
      <c r="V34" s="132" t="n"/>
      <c r="W34" s="138" t="n"/>
      <c r="X34" s="138" t="n"/>
      <c r="Y34" s="138" t="n"/>
      <c r="Z34" s="138" t="n"/>
      <c r="AA34" s="138" t="n"/>
      <c r="AB34" s="138" t="n"/>
      <c r="AC34" s="138" t="n"/>
      <c r="AD34" s="138" t="n"/>
      <c r="AE34" s="138" t="n"/>
      <c r="AF34" s="138" t="n"/>
      <c r="AG34" s="138" t="n"/>
      <c r="AH34" s="138" t="n"/>
      <c r="AI34" s="138" t="n"/>
      <c r="AJ34" s="138" t="n"/>
      <c r="AK34" s="138" t="n"/>
      <c r="AL34" s="138" t="n"/>
      <c r="AM34" s="138" t="n"/>
      <c r="AN34" s="138" t="n"/>
      <c r="AO34" s="138" t="n"/>
      <c r="AP34" s="138" t="n"/>
      <c r="AQ34" s="138" t="n"/>
      <c r="AR34" s="138" t="n"/>
      <c r="AS34" s="138" t="n"/>
      <c r="AT34" s="138" t="n"/>
      <c r="AU34" s="138" t="n"/>
      <c r="AV34" s="138" t="n"/>
      <c r="AW34" s="138" t="n"/>
      <c r="AX34" s="138" t="n"/>
      <c r="AY34" s="138" t="n"/>
      <c r="AZ34" s="138" t="n"/>
      <c r="BA34" s="138" t="n"/>
      <c r="BB34" s="166" t="n"/>
      <c r="BC34" s="166" t="n"/>
      <c r="BD34" s="166" t="n"/>
      <c r="BE34" s="166" t="n"/>
      <c r="BF34" s="166" t="n"/>
      <c r="BG34" s="167" t="n"/>
      <c r="BH34" s="167" t="n"/>
      <c r="BI34" s="167" t="n"/>
      <c r="BJ34" s="167" t="n"/>
      <c r="BK34" s="167" t="n"/>
      <c r="BL34" s="167" t="n"/>
      <c r="BM34" s="167" t="n"/>
      <c r="BN34" s="167" t="n"/>
      <c r="BO34" s="167" t="n"/>
      <c r="BP34" s="169" t="n"/>
      <c r="BQ34" s="60" t="n"/>
    </row>
    <row r="35" outlineLevel="1" ht="17.25" customHeight="1" s="111">
      <c r="A35" s="60" t="n"/>
      <c r="B35" s="61" t="inlineStr">
        <is>
          <t>4.4</t>
        </is>
      </c>
      <c r="C35" s="62" t="inlineStr">
        <is>
          <t>Pruebas integrales + documentación final</t>
        </is>
      </c>
      <c r="D35" s="127" t="inlineStr">
        <is>
          <t>Omar</t>
        </is>
      </c>
      <c r="E35" s="63" t="n">
        <v>46223</v>
      </c>
      <c r="F35" s="63" t="n">
        <v>46227</v>
      </c>
      <c r="G35" s="64">
        <f>DAYS360(E35,F35)</f>
        <v/>
      </c>
      <c r="H35" s="89" t="n">
        <v>0</v>
      </c>
      <c r="I35" s="153" t="n"/>
      <c r="J35" s="154" t="n"/>
      <c r="K35" s="138" t="n"/>
      <c r="L35" s="138" t="n"/>
      <c r="M35" s="138" t="n"/>
      <c r="N35" s="132" t="n"/>
      <c r="O35" s="132" t="n"/>
      <c r="P35" s="132" t="n"/>
      <c r="Q35" s="132" t="n"/>
      <c r="R35" s="132" t="n"/>
      <c r="S35" s="132" t="n"/>
      <c r="T35" s="132" t="n"/>
      <c r="U35" s="132" t="n"/>
      <c r="V35" s="132" t="n"/>
      <c r="W35" s="138" t="n"/>
      <c r="X35" s="138" t="n"/>
      <c r="Y35" s="138" t="n"/>
      <c r="Z35" s="138" t="n"/>
      <c r="AA35" s="138" t="n"/>
      <c r="AB35" s="138" t="n"/>
      <c r="AC35" s="138" t="n"/>
      <c r="AD35" s="138" t="n"/>
      <c r="AE35" s="138" t="n"/>
      <c r="AF35" s="138" t="n"/>
      <c r="AG35" s="138" t="n"/>
      <c r="AH35" s="138" t="n"/>
      <c r="AI35" s="138" t="n"/>
      <c r="AJ35" s="138" t="n"/>
      <c r="AK35" s="138" t="n"/>
      <c r="AL35" s="138" t="n"/>
      <c r="AM35" s="138" t="n"/>
      <c r="AN35" s="138" t="n"/>
      <c r="AO35" s="138" t="n"/>
      <c r="AP35" s="138" t="n"/>
      <c r="AQ35" s="138" t="n"/>
      <c r="AR35" s="138" t="n"/>
      <c r="AS35" s="138" t="n"/>
      <c r="AT35" s="138" t="n"/>
      <c r="AU35" s="138" t="n"/>
      <c r="AV35" s="138" t="n"/>
      <c r="AW35" s="138" t="n"/>
      <c r="AX35" s="138" t="n"/>
      <c r="AY35" s="138" t="n"/>
      <c r="AZ35" s="138" t="n"/>
      <c r="BA35" s="138" t="n"/>
      <c r="BB35" s="166" t="n"/>
      <c r="BC35" s="166" t="n"/>
      <c r="BD35" s="166" t="n"/>
      <c r="BE35" s="166" t="n"/>
      <c r="BF35" s="166" t="n"/>
      <c r="BG35" s="166" t="n"/>
      <c r="BH35" s="166" t="n"/>
      <c r="BI35" s="166" t="n"/>
      <c r="BJ35" s="166" t="n"/>
      <c r="BK35" s="166" t="n"/>
      <c r="BL35" s="167" t="n"/>
      <c r="BM35" s="167" t="n"/>
      <c r="BN35" s="167" t="n"/>
      <c r="BO35" s="167" t="n"/>
      <c r="BP35" s="169" t="n"/>
      <c r="BQ35" s="60" t="n"/>
    </row>
    <row r="36" ht="21" customHeight="1" s="111">
      <c r="A36" s="31" t="n"/>
      <c r="B36" s="31" t="n"/>
      <c r="C36" s="31" t="n"/>
      <c r="D36" s="31" t="n"/>
      <c r="E36" s="31" t="n"/>
      <c r="F36" s="31" t="n"/>
      <c r="G36" s="106" t="n"/>
      <c r="H36" s="106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1" t="n"/>
      <c r="BJ36" s="31" t="n"/>
      <c r="BK36" s="31" t="n"/>
      <c r="BL36" s="31" t="n"/>
      <c r="BM36" s="31" t="n"/>
      <c r="BN36" s="31" t="n"/>
      <c r="BO36" s="31" t="n"/>
      <c r="BP36" s="31" t="n"/>
      <c r="BQ36" s="31" t="n"/>
    </row>
    <row r="37" ht="21" customHeight="1" s="111">
      <c r="A37" s="31" t="n"/>
      <c r="B37" s="31" t="n"/>
      <c r="C37" s="31" t="n"/>
      <c r="D37" s="31" t="n"/>
      <c r="E37" s="31" t="n"/>
      <c r="F37" s="31" t="n"/>
      <c r="G37" s="106" t="n"/>
      <c r="H37" s="106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  <c r="AN37" s="31" t="n"/>
      <c r="AO37" s="31" t="n"/>
      <c r="AP37" s="31" t="n"/>
      <c r="AQ37" s="31" t="n"/>
      <c r="AR37" s="31" t="n"/>
      <c r="AS37" s="31" t="n"/>
      <c r="AT37" s="31" t="n"/>
      <c r="AU37" s="31" t="n"/>
      <c r="AV37" s="31" t="n"/>
      <c r="AW37" s="31" t="n"/>
      <c r="AX37" s="31" t="n"/>
      <c r="AY37" s="31" t="n"/>
      <c r="AZ37" s="31" t="n"/>
      <c r="BA37" s="31" t="n"/>
      <c r="BB37" s="31" t="n"/>
      <c r="BC37" s="31" t="n"/>
      <c r="BD37" s="31" t="n"/>
      <c r="BE37" s="31" t="n"/>
      <c r="BF37" s="31" t="n"/>
      <c r="BG37" s="31" t="n"/>
      <c r="BH37" s="31" t="n"/>
      <c r="BI37" s="31" t="n"/>
      <c r="BJ37" s="31" t="n"/>
      <c r="BK37" s="31" t="n"/>
      <c r="BL37" s="31" t="n"/>
      <c r="BM37" s="31" t="n"/>
      <c r="BN37" s="31" t="n"/>
      <c r="BO37" s="31" t="n"/>
      <c r="BP37" s="31" t="n"/>
      <c r="BQ37" s="31" t="n"/>
    </row>
    <row r="38" ht="21" customHeight="1" s="111">
      <c r="A38" s="31" t="n"/>
      <c r="B38" s="31" t="n"/>
      <c r="C38" s="31" t="n"/>
      <c r="D38" s="31" t="n"/>
      <c r="E38" s="31" t="n"/>
      <c r="F38" s="31" t="n"/>
      <c r="G38" s="106" t="n"/>
      <c r="H38" s="106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  <c r="AL38" s="31" t="n"/>
      <c r="AM38" s="31" t="n"/>
      <c r="AN38" s="31" t="n"/>
      <c r="AO38" s="31" t="n"/>
      <c r="AP38" s="31" t="n"/>
      <c r="AQ38" s="31" t="n"/>
      <c r="AR38" s="31" t="n"/>
      <c r="AS38" s="31" t="n"/>
      <c r="AT38" s="31" t="n"/>
      <c r="AU38" s="31" t="n"/>
      <c r="AV38" s="31" t="n"/>
      <c r="AW38" s="31" t="n"/>
      <c r="AX38" s="31" t="n"/>
      <c r="AY38" s="31" t="n"/>
      <c r="AZ38" s="31" t="n"/>
      <c r="BA38" s="31" t="n"/>
      <c r="BB38" s="31" t="n"/>
      <c r="BC38" s="31" t="n"/>
      <c r="BD38" s="31" t="n"/>
      <c r="BE38" s="31" t="n"/>
      <c r="BF38" s="31" t="n"/>
      <c r="BG38" s="31" t="n"/>
      <c r="BH38" s="31" t="n"/>
      <c r="BI38" s="31" t="n"/>
      <c r="BJ38" s="31" t="n"/>
      <c r="BK38" s="31" t="n"/>
      <c r="BL38" s="31" t="n"/>
      <c r="BM38" s="31" t="n"/>
      <c r="BN38" s="31" t="n"/>
      <c r="BO38" s="31" t="n"/>
      <c r="BP38" s="31" t="n"/>
      <c r="BQ38" s="31" t="n"/>
    </row>
  </sheetData>
  <mergeCells count="34">
    <mergeCell ref="I9:M9"/>
    <mergeCell ref="I5:O5"/>
    <mergeCell ref="BB8:BP8"/>
    <mergeCell ref="I4:O4"/>
    <mergeCell ref="D8:D10"/>
    <mergeCell ref="D5:G5"/>
    <mergeCell ref="AR9:AV9"/>
    <mergeCell ref="O2:AJ2"/>
    <mergeCell ref="BL9:BP9"/>
    <mergeCell ref="AM9:AQ9"/>
    <mergeCell ref="P4:AB4"/>
    <mergeCell ref="I8:W8"/>
    <mergeCell ref="G8:G10"/>
    <mergeCell ref="H8:H10"/>
    <mergeCell ref="AW9:BA9"/>
    <mergeCell ref="AH9:AL9"/>
    <mergeCell ref="BG9:BK9"/>
    <mergeCell ref="E8:E10"/>
    <mergeCell ref="B2:H2"/>
    <mergeCell ref="P5:AA5"/>
    <mergeCell ref="B8:B10"/>
    <mergeCell ref="AC9:AG9"/>
    <mergeCell ref="S9:W9"/>
    <mergeCell ref="AM8:BA8"/>
    <mergeCell ref="BB9:BF9"/>
    <mergeCell ref="N9:R9"/>
    <mergeCell ref="I2:N2"/>
    <mergeCell ref="B5:C5"/>
    <mergeCell ref="X9:AB9"/>
    <mergeCell ref="C8:C10"/>
    <mergeCell ref="X8:AL8"/>
    <mergeCell ref="B4:C4"/>
    <mergeCell ref="F8:F10"/>
    <mergeCell ref="D4:G4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7" t="inlineStr">
        <is>
          <t>#</t>
        </is>
      </c>
      <c r="B1" s="107" t="inlineStr">
        <is>
          <t>Actividad</t>
        </is>
      </c>
      <c r="C1" s="107" t="inlineStr">
        <is>
          <t>Mes 1 (May)</t>
        </is>
      </c>
      <c r="D1" s="107" t="inlineStr">
        <is>
          <t>Mes 2-3 (Jun-Jul)</t>
        </is>
      </c>
      <c r="E1" s="107" t="inlineStr">
        <is>
          <t>Mes 4-5 (Ago-Sep)</t>
        </is>
      </c>
      <c r="F1" s="107" t="inlineStr">
        <is>
          <t>Mes 6 (Oct)</t>
        </is>
      </c>
    </row>
    <row r="2">
      <c r="A2" s="108" t="inlineStr">
        <is>
          <t>A</t>
        </is>
      </c>
      <c r="B2" s="108" t="inlineStr">
        <is>
          <t>Fase A: Seguridad e Higiene</t>
        </is>
      </c>
      <c r="C2" s="108" t="inlineStr">
        <is>
          <t>[X]</t>
        </is>
      </c>
      <c r="D2" s="109" t="n"/>
      <c r="E2" s="109" t="n"/>
      <c r="F2" s="109" t="n"/>
    </row>
    <row r="3">
      <c r="A3" s="108" t="inlineStr">
        <is>
          <t>B</t>
        </is>
      </c>
      <c r="B3" s="108" t="inlineStr">
        <is>
          <t>Fase B: Persistencia y Arquitectura</t>
        </is>
      </c>
      <c r="C3" s="110" t="n"/>
      <c r="D3" s="108" t="inlineStr">
        <is>
          <t>[X]</t>
        </is>
      </c>
      <c r="E3" s="110" t="n"/>
      <c r="F3" s="110" t="n"/>
    </row>
    <row r="4">
      <c r="A4" s="108" t="inlineStr">
        <is>
          <t>C</t>
        </is>
      </c>
      <c r="B4" s="108" t="inlineStr">
        <is>
          <t>Fase C: Validacion y MVP</t>
        </is>
      </c>
      <c r="C4" s="109" t="n"/>
      <c r="D4" s="109" t="n"/>
      <c r="E4" s="108" t="inlineStr">
        <is>
          <t>[X]</t>
        </is>
      </c>
      <c r="F4" s="108" t="inlineStr">
        <is>
          <t>[X]</t>
        </is>
      </c>
    </row>
    <row r="5">
      <c r="A5" s="108" t="inlineStr">
        <is>
          <t>D</t>
        </is>
      </c>
      <c r="B5" s="108" t="inlineStr">
        <is>
          <t>Documentacion tecnica continua</t>
        </is>
      </c>
      <c r="C5" s="108" t="inlineStr">
        <is>
          <t>[X]</t>
        </is>
      </c>
      <c r="D5" s="108" t="inlineStr">
        <is>
          <t>[X]</t>
        </is>
      </c>
      <c r="E5" s="108" t="inlineStr">
        <is>
          <t>[X]</t>
        </is>
      </c>
      <c r="F5" s="108" t="inlineStr">
        <is>
          <t>[X]</t>
        </is>
      </c>
    </row>
    <row r="6">
      <c r="A6" s="108" t="inlineStr">
        <is>
          <t>E</t>
        </is>
      </c>
      <c r="B6" s="108" t="inlineStr">
        <is>
          <t>Sesiones de campo con agricultores</t>
        </is>
      </c>
      <c r="C6" s="109" t="n"/>
      <c r="D6" s="109" t="n"/>
      <c r="E6" s="108" t="inlineStr">
        <is>
          <t>[X]</t>
        </is>
      </c>
      <c r="F6" s="108" t="inlineStr">
        <is>
          <t>[X]</t>
        </is>
      </c>
    </row>
    <row r="7">
      <c r="A7" s="108" t="inlineStr">
        <is>
          <t>F</t>
        </is>
      </c>
      <c r="B7" s="108" t="inlineStr">
        <is>
          <t>Medicion de ahorro hidrico real</t>
        </is>
      </c>
      <c r="C7" s="110" t="n"/>
      <c r="D7" s="110" t="n"/>
      <c r="E7" s="110" t="n"/>
      <c r="F7" s="108" t="inlineStr">
        <is>
          <t>[X]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2026-05-02T01:59:05Z</dcterms:created>
  <dcterms:modified xmlns:dcterms="http://purl.org/dc/terms/" xmlns:xsi="http://www.w3.org/2001/XMLSchema-instance" xsi:type="dcterms:W3CDTF">2026-05-02T01:59:05Z</dcterms:modified>
</cp:coreProperties>
</file>