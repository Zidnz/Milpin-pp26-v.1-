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Proyección 48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<sst xmlns="http://schemas.openxmlformats.org/spreadsheetml/2006/main" count="118" uniqueCount="112">
  <si>
    <t xml:space="preserve">MILPÍN — Modelo de Adopción con Churn</t>
  </si>
  <si>
    <t xml:space="preserve">Proyección 48 meses  ·  Valle del Yaqui DR-041  ·  Módulo 3</t>
  </si>
  <si>
    <t xml:space="preserve">  PARÁMETROS DE ENTRADA  —  celdas en azul son modificables</t>
  </si>
  <si>
    <t xml:space="preserve">Parámetro</t>
  </si>
  <si>
    <t xml:space="preserve">Valor</t>
  </si>
  <si>
    <t xml:space="preserve">Notas</t>
  </si>
  <si>
    <t xml:space="preserve">Techo de mercado (ha)</t>
  </si>
  <si>
    <t xml:space="preserve">Ha máximas disponibles en el mercado objetivo</t>
  </si>
  <si>
    <t xml:space="preserve">Tasa de adquisición mensual</t>
  </si>
  <si>
    <t xml:space="preserve">% del mercado disponible que entra cada mes</t>
  </si>
  <si>
    <t xml:space="preserve">Churn mensual</t>
  </si>
  <si>
    <t xml:space="preserve">% de ha activas que abandonan cada mes</t>
  </si>
  <si>
    <t xml:space="preserve">Precio Plan 1 (MXN/ha/mes)</t>
  </si>
  <si>
    <t xml:space="preserve">Plan 1: $240/ha/año ÷ 12 = $20/ha/mes</t>
  </si>
  <si>
    <t xml:space="preserve">Infra stack actual (MXN/año)</t>
  </si>
  <si>
    <t xml:space="preserve">Stack actual = ~$1,613/mes</t>
  </si>
  <si>
    <t xml:space="preserve">Infra Azure (MXN/año)</t>
  </si>
  <si>
    <t xml:space="preserve">Azure estimado = ~$24,390/mes</t>
  </si>
  <si>
    <t xml:space="preserve">Stack seleccionado</t>
  </si>
  <si>
    <t xml:space="preserve">actual</t>
  </si>
  <si>
    <t xml:space="preserve">Escribir exactamente: 'actual'  o  'azure'</t>
  </si>
  <si>
    <t xml:space="preserve">  PARÁMETROS DERIVADOS  —  calculados automáticamente</t>
  </si>
  <si>
    <t xml:space="preserve">Costo mensual infra (MXN/mes)</t>
  </si>
  <si>
    <t xml:space="preserve">Cambia automáticamente según stack seleccionado</t>
  </si>
  <si>
    <t xml:space="preserve">Acq. rate pesimista (× 0.6)</t>
  </si>
  <si>
    <t xml:space="preserve">Escenario pesimista: adquisición 40% más lenta</t>
  </si>
  <si>
    <t xml:space="preserve">Churn pesimista (× 2)</t>
  </si>
  <si>
    <t xml:space="preserve">Escenario pesimista: el doble de abandono</t>
  </si>
  <si>
    <t xml:space="preserve">Acq. rate optimista (× 1.5)</t>
  </si>
  <si>
    <t xml:space="preserve">Escenario optimista: 50% más rápida</t>
  </si>
  <si>
    <t xml:space="preserve">Churn optimista (÷ 2)</t>
  </si>
  <si>
    <t xml:space="preserve">Escenario optimista: la mitad de abandono</t>
  </si>
  <si>
    <t xml:space="preserve">  KPIs — EQUILIBRIO DEL SISTEMA  (escenario base)</t>
  </si>
  <si>
    <t xml:space="preserve">Ha en equilibrio real (base)</t>
  </si>
  <si>
    <t xml:space="preserve">Techo × acq ÷ (acq + churn)  →  límite real del sistema</t>
  </si>
  <si>
    <t xml:space="preserve">% del techo alcanzable</t>
  </si>
  <si>
    <t xml:space="preserve">Ha equilibrio ÷ techo de mercado</t>
  </si>
  <si>
    <t xml:space="preserve">Ingreso mensual estable (MXN)</t>
  </si>
  <si>
    <t xml:space="preserve">Equilibrio × precio/ha/mes</t>
  </si>
  <si>
    <t xml:space="preserve">¿Plan 1 cubre costos en equilibrio?</t>
  </si>
  <si>
    <t xml:space="preserve">Compara ingreso estable vs costo fijo mensual</t>
  </si>
  <si>
    <t xml:space="preserve">LTV estimado (MXN/ha)</t>
  </si>
  <si>
    <t xml:space="preserve">Precio/mes ÷ churn = valor de vida media por hectárea</t>
  </si>
  <si>
    <t xml:space="preserve">Vida media de ha activa (meses)</t>
  </si>
  <si>
    <t xml:space="preserve">1 ÷ churn mensual</t>
  </si>
  <si>
    <t xml:space="preserve">  CONVENCIÓN DE COLORES  (estándar financiero)</t>
  </si>
  <si>
    <t xml:space="preserve">Azul / fondo amarillo</t>
  </si>
  <si>
    <t xml:space="preserve">Azul / Amarillo</t>
  </si>
  <si>
    <t xml:space="preserve">Input — valor que el usuario puede modificar</t>
  </si>
  <si>
    <t xml:space="preserve">Negro sin fondo</t>
  </si>
  <si>
    <t xml:space="preserve">Negro</t>
  </si>
  <si>
    <t xml:space="preserve">Fórmula — calculado automáticamente</t>
  </si>
  <si>
    <t xml:space="preserve">Hoja Proyección 48M</t>
  </si>
  <si>
    <t xml:space="preserve">Simulación mes a mes + gráfica dinámica</t>
  </si>
  <si>
    <t xml:space="preserve">MILPÍN — Proyección 48 Meses · Ingresos por Escenario vs Costo Fijo</t>
  </si>
  <si>
    <t xml:space="preserve">Mes</t>
  </si>
  <si>
    <t xml:space="preserve">Ha Base</t>
  </si>
  <si>
    <t xml:space="preserve">Ha Pesimista</t>
  </si>
  <si>
    <t xml:space="preserve">Ha Optimista</t>
  </si>
  <si>
    <t xml:space="preserve">Rev Base
(MXN/mes)</t>
  </si>
  <si>
    <t xml:space="preserve">Rev Pesimista
(MXN/mes)</t>
  </si>
  <si>
    <t xml:space="preserve">Rev Optimista
(MXN/mes)</t>
  </si>
  <si>
    <t xml:space="preserve">Costo Fijo
(MXN/mes)</t>
  </si>
  <si>
    <t xml:space="preserve">Fórmulas referencian hoja 'Parámetros'  ·  Modifica los valores allí y esta tabla se actualiza automáticamente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</si>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</sst>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.00"/>
    <numFmt numFmtId="168" formatCode="\$#,##0"/>
    <numFmt numFmtId="169" formatCode="@"/>
    <numFmt numFmtId="170" formatCode="0.0&quot; meses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A8DDB5"/>
      <name val="Arial"/>
      <family val="0"/>
      <charset val="1"/>
    </font>
    <font>
      <b val="true"/>
      <sz val="9"/>
      <color rgb="FF0F6CB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D3D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6B7C93"/>
      <name val="Arial"/>
      <family val="0"/>
      <charset val="1"/>
    </font>
    <font>
      <b val="true"/>
      <sz val="9"/>
      <color rgb="FF43B36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6B7C9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2D3D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A3D62"/>
        <bgColor rgb="FF1F2D3D"/>
      </patternFill>
    </fill>
    <fill>
      <patternFill patternType="solid">
        <fgColor rgb="FF0F6CBD"/>
        <bgColor rgb="FF008080"/>
      </patternFill>
    </fill>
    <fill>
      <patternFill patternType="solid">
        <fgColor rgb="FFF5F9FC"/>
        <bgColor rgb="FFEEF5FB"/>
      </patternFill>
    </fill>
    <fill>
      <patternFill patternType="solid">
        <fgColor rgb="FFFFFFFF"/>
        <bgColor rgb="FFF5F9FC"/>
      </patternFill>
    </fill>
    <fill>
      <patternFill patternType="solid">
        <fgColor rgb="FFFFFF00"/>
        <bgColor rgb="FFFFFF00"/>
      </patternFill>
    </fill>
    <fill>
      <patternFill patternType="solid">
        <fgColor rgb="FF43B36B"/>
        <bgColor rgb="FF33CCCC"/>
      </patternFill>
    </fill>
    <fill>
      <patternFill patternType="solid">
        <fgColor rgb="FFE65C5C"/>
        <bgColor rgb="FFFF6600"/>
      </patternFill>
    </fill>
    <fill>
      <patternFill patternType="solid">
        <fgColor rgb="FF555555"/>
        <bgColor rgb="FF6B7C93"/>
      </patternFill>
    </fill>
    <fill>
      <patternFill patternType="solid">
        <fgColor rgb="FFEEF5FB"/>
        <bgColor rgb="FFF5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8F7"/>
      </left>
      <right style="thin">
        <color rgb="FFD6E8F7"/>
      </right>
      <top style="thin">
        <color rgb="FFD6E8F7"/>
      </top>
      <bottom style="thin">
        <color rgb="FFD6E8F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DB5"/>
      <rgbColor rgb="FF878787"/>
      <rgbColor rgb="FF9999FF"/>
      <rgbColor rgb="FF993366"/>
      <rgbColor rgb="FFF5F9FC"/>
      <rgbColor rgb="FFD6E8F7"/>
      <rgbColor rgb="FF660066"/>
      <rgbColor rgb="FFE65C5C"/>
      <rgbColor rgb="FF0F6CB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B7C93"/>
      <rgbColor rgb="FF969696"/>
      <rgbColor rgb="FF0A3D62"/>
      <rgbColor rgb="FF43B36B"/>
      <rgbColor rgb="FF003300"/>
      <rgbColor rgb="FF333300"/>
      <rgbColor rgb="FF993300"/>
      <rgbColor rgb="FF993366"/>
      <rgbColor rgb="FF555555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por Escenario vs Costo Fijo (MXN/mes)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"Rev. Pesimista"</c:f>
              <c:strCache>
                <c:ptCount val="1"/>
                <c:pt idx="0">
                  <c:v>Rev. Pesimista</c:v>
                </c:pt>
              </c:strCache>
            </c:strRef>
          </c:tx>
          <c:spPr>
            <a:solidFill>
              <a:srgbClr val="E65C5C"/>
            </a:solidFill>
            <a:ln w="21960">
              <a:solidFill>
                <a:srgbClr val="E65C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'Proyección 48M'!$A$4:$A$51</c:f>
              <c:strCache>
                <c:ptCount val="48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</c:strCache>
            </c:strRef>
          </c:cat>
          <c:val>
            <c:numRef>
              <c:f>'Proyección 48M'!$F$4:$F$51</c:f>
              <c:numCache>
                <c:formatCode>\$#,##0</c:formatCode>
                <c:ptCount val="48"/>
                <c:pt idx="0">
                  <c:v>1800</c:v>
                </c:pt>
                <c:pt idx="1">
                  <c:v>3387.6</c:v>
                </c:pt>
                <c:pt idx="2">
                  <c:v>4787.8632</c:v>
                </c:pt>
                <c:pt idx="3">
                  <c:v>6022.8953424</c:v>
                </c:pt>
                <c:pt idx="4">
                  <c:v>7112.1936919968</c:v>
                </c:pt>
                <c:pt idx="5">
                  <c:v>8072.95483634118</c:v>
                </c:pt>
                <c:pt idx="6">
                  <c:v>8920.34616565292</c:v>
                </c:pt>
                <c:pt idx="7">
                  <c:v>9667.74531810587</c:v>
                </c:pt>
                <c:pt idx="8">
                  <c:v>10326.9513705694</c:v>
                </c:pt>
                <c:pt idx="9">
                  <c:v>10908.3711088422</c:v>
                </c:pt>
                <c:pt idx="10">
                  <c:v>11421.1833179988</c:v>
                </c:pt>
                <c:pt idx="11">
                  <c:v>11873.483686475</c:v>
                </c:pt>
                <c:pt idx="12">
                  <c:v>12272.4126114709</c:v>
                </c:pt>
                <c:pt idx="13">
                  <c:v>12624.2679233173</c:v>
                </c:pt>
                <c:pt idx="14">
                  <c:v>12934.6043083659</c:v>
                </c:pt>
                <c:pt idx="15">
                  <c:v>13208.3209999787</c:v>
                </c:pt>
                <c:pt idx="16">
                  <c:v>13449.7391219812</c:v>
                </c:pt>
                <c:pt idx="17">
                  <c:v>13662.6699055874</c:v>
                </c:pt>
                <c:pt idx="18">
                  <c:v>13850.4748567281</c:v>
                </c:pt>
                <c:pt idx="19">
                  <c:v>14016.1188236342</c:v>
                </c:pt>
                <c:pt idx="20">
                  <c:v>14162.2168024454</c:v>
                </c:pt>
                <c:pt idx="21">
                  <c:v>14291.0752197568</c:v>
                </c:pt>
                <c:pt idx="22">
                  <c:v>14404.7283438255</c:v>
                </c:pt>
                <c:pt idx="23">
                  <c:v>14504.9703992541</c:v>
                </c:pt>
                <c:pt idx="24">
                  <c:v>14593.3838921421</c:v>
                </c:pt>
                <c:pt idx="25">
                  <c:v>14671.3645928694</c:v>
                </c:pt>
                <c:pt idx="26">
                  <c:v>14740.1435709108</c:v>
                </c:pt>
                <c:pt idx="27">
                  <c:v>14800.8066295433</c:v>
                </c:pt>
                <c:pt idx="28">
                  <c:v>14854.3114472572</c:v>
                </c:pt>
                <c:pt idx="29">
                  <c:v>14901.5026964808</c:v>
                </c:pt>
                <c:pt idx="30">
                  <c:v>14943.1253782961</c:v>
                </c:pt>
                <c:pt idx="31">
                  <c:v>14979.8365836572</c:v>
                </c:pt>
                <c:pt idx="32">
                  <c:v>15012.2158667856</c:v>
                </c:pt>
                <c:pt idx="33">
                  <c:v>15040.7743945049</c:v>
                </c:pt>
                <c:pt idx="34">
                  <c:v>15065.9630159533</c:v>
                </c:pt>
                <c:pt idx="35">
                  <c:v>15088.1793800708</c:v>
                </c:pt>
                <c:pt idx="36">
                  <c:v>15107.7742132225</c:v>
                </c:pt>
                <c:pt idx="37">
                  <c:v>15125.0568560622</c:v>
                </c:pt>
                <c:pt idx="38">
                  <c:v>15140.3001470469</c:v>
                </c:pt>
                <c:pt idx="39">
                  <c:v>15153.7447296954</c:v>
                </c:pt>
                <c:pt idx="40">
                  <c:v>15165.6028515913</c:v>
                </c:pt>
                <c:pt idx="41">
                  <c:v>15176.0617151035</c:v>
                </c:pt>
                <c:pt idx="42">
                  <c:v>15185.2864327213</c:v>
                </c:pt>
                <c:pt idx="43">
                  <c:v>15193.4226336602</c:v>
                </c:pt>
                <c:pt idx="44">
                  <c:v>15200.5987628883</c:v>
                </c:pt>
                <c:pt idx="45">
                  <c:v>15206.9281088675</c:v>
                </c:pt>
                <c:pt idx="46">
                  <c:v>15212.5105920211</c:v>
                </c:pt>
                <c:pt idx="47">
                  <c:v>15217.4343421626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"Rev. Base"</c:f>
              <c:strCache>
                <c:ptCount val="1"/>
                <c:pt idx="0">
                  <c:v>Rev. Base</c:v>
                </c:pt>
              </c:strCache>
            </c:strRef>
          </c:tx>
          <c:spPr>
            <a:solidFill>
              <a:srgbClr val="F5A623"/>
            </a:solidFill>
            <a:ln w="2196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'Proyección 48M'!$A$4:$A$51</c:f>
              <c:strCache>
                <c:ptCount val="48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</c:strCache>
            </c:strRef>
          </c:cat>
          <c:val>
            <c:numRef>
              <c:f>'Proyección 48M'!$E$4:$E$51</c:f>
              <c:numCache>
                <c:formatCode>\$#,##0</c:formatCode>
                <c:ptCount val="48"/>
                <c:pt idx="0">
                  <c:v>3000</c:v>
                </c:pt>
                <c:pt idx="1">
                  <c:v>5760</c:v>
                </c:pt>
                <c:pt idx="2">
                  <c:v>8299.2</c:v>
                </c:pt>
                <c:pt idx="3">
                  <c:v>10635.264</c:v>
                </c:pt>
                <c:pt idx="4">
                  <c:v>12784.44288</c:v>
                </c:pt>
                <c:pt idx="5">
                  <c:v>14761.6874496</c:v>
                </c:pt>
                <c:pt idx="6">
                  <c:v>16580.752453632</c:v>
                </c:pt>
                <c:pt idx="7">
                  <c:v>18254.2922573414</c:v>
                </c:pt>
                <c:pt idx="8">
                  <c:v>19793.9488767541</c:v>
                </c:pt>
                <c:pt idx="9">
                  <c:v>21210.4329666138</c:v>
                </c:pt>
                <c:pt idx="10">
                  <c:v>22513.5983292847</c:v>
                </c:pt>
                <c:pt idx="11">
                  <c:v>23712.5104629419</c:v>
                </c:pt>
                <c:pt idx="12">
                  <c:v>24815.5096259066</c:v>
                </c:pt>
                <c:pt idx="13">
                  <c:v>25830.268855834</c:v>
                </c:pt>
                <c:pt idx="14">
                  <c:v>26763.8473473673</c:v>
                </c:pt>
                <c:pt idx="15">
                  <c:v>27622.7395595779</c:v>
                </c:pt>
                <c:pt idx="16">
                  <c:v>28412.9203948117</c:v>
                </c:pt>
                <c:pt idx="17">
                  <c:v>29139.8867632267</c:v>
                </c:pt>
                <c:pt idx="18">
                  <c:v>29808.6958221686</c:v>
                </c:pt>
                <c:pt idx="19">
                  <c:v>30424.0001563951</c:v>
                </c:pt>
                <c:pt idx="20">
                  <c:v>30990.0801438835</c:v>
                </c:pt>
                <c:pt idx="21">
                  <c:v>31510.8737323728</c:v>
                </c:pt>
                <c:pt idx="22">
                  <c:v>31990.003833783</c:v>
                </c:pt>
                <c:pt idx="23">
                  <c:v>32430.8035270804</c:v>
                </c:pt>
                <c:pt idx="24">
                  <c:v>32836.3392449139</c:v>
                </c:pt>
                <c:pt idx="25">
                  <c:v>33209.4321053208</c:v>
                </c:pt>
                <c:pt idx="26">
                  <c:v>33552.6775368951</c:v>
                </c:pt>
                <c:pt idx="27">
                  <c:v>33868.4633339435</c:v>
                </c:pt>
                <c:pt idx="28">
                  <c:v>34158.986267228</c:v>
                </c:pt>
                <c:pt idx="29">
                  <c:v>34426.2673658498</c:v>
                </c:pt>
                <c:pt idx="30">
                  <c:v>34672.1659765818</c:v>
                </c:pt>
                <c:pt idx="31">
                  <c:v>34898.3926984553</c:v>
                </c:pt>
                <c:pt idx="32">
                  <c:v>35106.5212825788</c:v>
                </c:pt>
                <c:pt idx="33">
                  <c:v>35297.9995799725</c:v>
                </c:pt>
                <c:pt idx="34">
                  <c:v>35474.1596135747</c:v>
                </c:pt>
                <c:pt idx="35">
                  <c:v>35636.2268444887</c:v>
                </c:pt>
                <c:pt idx="36">
                  <c:v>35785.3286969296</c:v>
                </c:pt>
                <c:pt idx="37">
                  <c:v>35922.5024011753</c:v>
                </c:pt>
                <c:pt idx="38">
                  <c:v>36048.7022090812</c:v>
                </c:pt>
                <c:pt idx="39">
                  <c:v>36164.8060323548</c:v>
                </c:pt>
                <c:pt idx="40">
                  <c:v>36271.6215497664</c:v>
                </c:pt>
                <c:pt idx="41">
                  <c:v>36369.8918257851</c:v>
                </c:pt>
                <c:pt idx="42">
                  <c:v>36460.3004797222</c:v>
                </c:pt>
                <c:pt idx="43">
                  <c:v>36543.4764413445</c:v>
                </c:pt>
                <c:pt idx="44">
                  <c:v>36619.9983260369</c:v>
                </c:pt>
                <c:pt idx="45">
                  <c:v>36690.398459954</c:v>
                </c:pt>
                <c:pt idx="46">
                  <c:v>36755.1665831576</c:v>
                </c:pt>
                <c:pt idx="47">
                  <c:v>36814.753256505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"Rev. Optimista"</c:f>
              <c:strCache>
                <c:ptCount val="1"/>
                <c:pt idx="0">
                  <c:v>Rev. Optimista</c:v>
                </c:pt>
              </c:strCache>
            </c:strRef>
          </c:tx>
          <c:spPr>
            <a:solidFill>
              <a:srgbClr val="43B36B"/>
            </a:solidFill>
            <a:ln w="21960">
              <a:solidFill>
                <a:srgbClr val="43B3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'Proyección 48M'!$A$4:$A$51</c:f>
              <c:strCache>
                <c:ptCount val="48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</c:strCache>
            </c:strRef>
          </c:cat>
          <c:val>
            <c:numRef>
              <c:f>'Proyección 48M'!$G$4:$G$51</c:f>
              <c:numCache>
                <c:formatCode>\$#,##0</c:formatCode>
                <c:ptCount val="48"/>
                <c:pt idx="0">
                  <c:v>4500</c:v>
                </c:pt>
                <c:pt idx="1">
                  <c:v>8685</c:v>
                </c:pt>
                <c:pt idx="2">
                  <c:v>12577.05</c:v>
                </c:pt>
                <c:pt idx="3">
                  <c:v>16196.6565</c:v>
                </c:pt>
                <c:pt idx="4">
                  <c:v>19562.890545</c:v>
                </c:pt>
                <c:pt idx="5">
                  <c:v>22693.48820685</c:v>
                </c:pt>
                <c:pt idx="6">
                  <c:v>25604.9440323705</c:v>
                </c:pt>
                <c:pt idx="7">
                  <c:v>28312.5979501046</c:v>
                </c:pt>
                <c:pt idx="8">
                  <c:v>30830.7160935972</c:v>
                </c:pt>
                <c:pt idx="9">
                  <c:v>33172.5659670454</c:v>
                </c:pt>
                <c:pt idx="10">
                  <c:v>35350.4863493523</c:v>
                </c:pt>
                <c:pt idx="11">
                  <c:v>37375.9523048976</c:v>
                </c:pt>
                <c:pt idx="12">
                  <c:v>39259.6356435548</c:v>
                </c:pt>
                <c:pt idx="13">
                  <c:v>41011.4611485059</c:v>
                </c:pt>
                <c:pt idx="14">
                  <c:v>42640.6588681105</c:v>
                </c:pt>
                <c:pt idx="15">
                  <c:v>44155.8127473428</c:v>
                </c:pt>
                <c:pt idx="16">
                  <c:v>45564.9058550288</c:v>
                </c:pt>
                <c:pt idx="17">
                  <c:v>46875.3624451768</c:v>
                </c:pt>
                <c:pt idx="18">
                  <c:v>48094.0870740144</c:v>
                </c:pt>
                <c:pt idx="19">
                  <c:v>49227.5009788334</c:v>
                </c:pt>
                <c:pt idx="20">
                  <c:v>50281.575910315</c:v>
                </c:pt>
                <c:pt idx="21">
                  <c:v>51261.865596593</c:v>
                </c:pt>
                <c:pt idx="22">
                  <c:v>52173.5350048315</c:v>
                </c:pt>
                <c:pt idx="23">
                  <c:v>53021.3875544933</c:v>
                </c:pt>
                <c:pt idx="24">
                  <c:v>53809.8904256787</c:v>
                </c:pt>
                <c:pt idx="25">
                  <c:v>54543.1980958812</c:v>
                </c:pt>
                <c:pt idx="26">
                  <c:v>55225.1742291695</c:v>
                </c:pt>
                <c:pt idx="27">
                  <c:v>55859.4120331277</c:v>
                </c:pt>
                <c:pt idx="28">
                  <c:v>56449.2531908087</c:v>
                </c:pt>
                <c:pt idx="29">
                  <c:v>56997.8054674521</c:v>
                </c:pt>
                <c:pt idx="30">
                  <c:v>57507.9590847305</c:v>
                </c:pt>
                <c:pt idx="31">
                  <c:v>57982.4019487993</c:v>
                </c:pt>
                <c:pt idx="32">
                  <c:v>58423.6338123834</c:v>
                </c:pt>
                <c:pt idx="33">
                  <c:v>58833.9794455165</c:v>
                </c:pt>
                <c:pt idx="34">
                  <c:v>59215.6008843304</c:v>
                </c:pt>
                <c:pt idx="35">
                  <c:v>59570.5088224272</c:v>
                </c:pt>
                <c:pt idx="36">
                  <c:v>59900.5732048573</c:v>
                </c:pt>
                <c:pt idx="37">
                  <c:v>60207.5330805173</c:v>
                </c:pt>
                <c:pt idx="38">
                  <c:v>60493.0057648811</c:v>
                </c:pt>
                <c:pt idx="39">
                  <c:v>60758.4953613394</c:v>
                </c:pt>
                <c:pt idx="40">
                  <c:v>61005.4006860457</c:v>
                </c:pt>
                <c:pt idx="41">
                  <c:v>61235.0226380225</c:v>
                </c:pt>
                <c:pt idx="42">
                  <c:v>61448.5710533609</c:v>
                </c:pt>
                <c:pt idx="43">
                  <c:v>61647.1710796256</c:v>
                </c:pt>
                <c:pt idx="44">
                  <c:v>61831.8691040518</c:v>
                </c:pt>
                <c:pt idx="45">
                  <c:v>62003.6382667682</c:v>
                </c:pt>
                <c:pt idx="46">
                  <c:v>62163.3835880944</c:v>
                </c:pt>
                <c:pt idx="47">
                  <c:v>62311.9467369278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"Costo Fijo"</c:f>
              <c:strCache>
                <c:ptCount val="1"/>
                <c:pt idx="0">
                  <c:v>Costo Fijo</c:v>
                </c:pt>
              </c:strCache>
            </c:strRef>
          </c:tx>
          <c:spPr>
            <a:solidFill>
              <a:srgbClr val="0F6CBD"/>
            </a:solidFill>
            <a:ln w="21960">
              <a:solidFill>
                <a:srgbClr val="0F6CBD"/>
              </a:solidFill>
              <a:prstDash val="sys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  <a:prstDash val="sys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'Proyección 48M'!$A$4:$A$51</c:f>
              <c:strCache>
                <c:ptCount val="48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  <c:pt idx="24">
                  <c:v>M25</c:v>
                </c:pt>
                <c:pt idx="25">
                  <c:v>M26</c:v>
                </c:pt>
                <c:pt idx="26">
                  <c:v>M27</c:v>
                </c:pt>
                <c:pt idx="27">
                  <c:v>M28</c:v>
                </c:pt>
                <c:pt idx="28">
                  <c:v>M29</c:v>
                </c:pt>
                <c:pt idx="29">
                  <c:v>M30</c:v>
                </c:pt>
                <c:pt idx="30">
                  <c:v>M31</c:v>
                </c:pt>
                <c:pt idx="31">
                  <c:v>M32</c:v>
                </c:pt>
                <c:pt idx="32">
                  <c:v>M33</c:v>
                </c:pt>
                <c:pt idx="33">
                  <c:v>M34</c:v>
                </c:pt>
                <c:pt idx="34">
                  <c:v>M35</c:v>
                </c:pt>
                <c:pt idx="35">
                  <c:v>M36</c:v>
                </c:pt>
                <c:pt idx="36">
                  <c:v>M37</c:v>
                </c:pt>
                <c:pt idx="37">
                  <c:v>M38</c:v>
                </c:pt>
                <c:pt idx="38">
                  <c:v>M39</c:v>
                </c:pt>
                <c:pt idx="39">
                  <c:v>M40</c:v>
                </c:pt>
                <c:pt idx="40">
                  <c:v>M41</c:v>
                </c:pt>
                <c:pt idx="41">
                  <c:v>M42</c:v>
                </c:pt>
                <c:pt idx="42">
                  <c:v>M43</c:v>
                </c:pt>
                <c:pt idx="43">
                  <c:v>M44</c:v>
                </c:pt>
                <c:pt idx="44">
                  <c:v>M45</c:v>
                </c:pt>
                <c:pt idx="45">
                  <c:v>M46</c:v>
                </c:pt>
                <c:pt idx="46">
                  <c:v>M47</c:v>
                </c:pt>
                <c:pt idx="47">
                  <c:v>M48</c:v>
                </c:pt>
              </c:strCache>
            </c:strRef>
          </c:cat>
          <c:val>
            <c:numRef>
              <c:f>'Proyección 48M'!$H$4:$H$51</c:f>
              <c:numCache>
                <c:formatCode>\$#,##0</c:formatCode>
                <c:ptCount val="48"/>
                <c:pt idx="0">
                  <c:v>1613.33333333333</c:v>
                </c:pt>
                <c:pt idx="1">
                  <c:v>1613.33333333333</c:v>
                </c:pt>
                <c:pt idx="2">
                  <c:v>1613.33333333333</c:v>
                </c:pt>
                <c:pt idx="3">
                  <c:v>1613.33333333333</c:v>
                </c:pt>
                <c:pt idx="4">
                  <c:v>1613.33333333333</c:v>
                </c:pt>
                <c:pt idx="5">
                  <c:v>1613.33333333333</c:v>
                </c:pt>
                <c:pt idx="6">
                  <c:v>1613.33333333333</c:v>
                </c:pt>
                <c:pt idx="7">
                  <c:v>1613.33333333333</c:v>
                </c:pt>
                <c:pt idx="8">
                  <c:v>1613.33333333333</c:v>
                </c:pt>
                <c:pt idx="9">
                  <c:v>1613.33333333333</c:v>
                </c:pt>
                <c:pt idx="10">
                  <c:v>1613.33333333333</c:v>
                </c:pt>
                <c:pt idx="11">
                  <c:v>1613.33333333333</c:v>
                </c:pt>
                <c:pt idx="12">
                  <c:v>1613.33333333333</c:v>
                </c:pt>
                <c:pt idx="13">
                  <c:v>1613.33333333333</c:v>
                </c:pt>
                <c:pt idx="14">
                  <c:v>1613.33333333333</c:v>
                </c:pt>
                <c:pt idx="15">
                  <c:v>1613.33333333333</c:v>
                </c:pt>
                <c:pt idx="16">
                  <c:v>1613.33333333333</c:v>
                </c:pt>
                <c:pt idx="17">
                  <c:v>1613.33333333333</c:v>
                </c:pt>
                <c:pt idx="18">
                  <c:v>1613.33333333333</c:v>
                </c:pt>
                <c:pt idx="19">
                  <c:v>1613.33333333333</c:v>
                </c:pt>
                <c:pt idx="20">
                  <c:v>1613.33333333333</c:v>
                </c:pt>
                <c:pt idx="21">
                  <c:v>1613.33333333333</c:v>
                </c:pt>
                <c:pt idx="22">
                  <c:v>1613.33333333333</c:v>
                </c:pt>
                <c:pt idx="23">
                  <c:v>1613.33333333333</c:v>
                </c:pt>
                <c:pt idx="24">
                  <c:v>1613.33333333333</c:v>
                </c:pt>
                <c:pt idx="25">
                  <c:v>1613.33333333333</c:v>
                </c:pt>
                <c:pt idx="26">
                  <c:v>1613.33333333333</c:v>
                </c:pt>
                <c:pt idx="27">
                  <c:v>1613.33333333333</c:v>
                </c:pt>
                <c:pt idx="28">
                  <c:v>1613.33333333333</c:v>
                </c:pt>
                <c:pt idx="29">
                  <c:v>1613.33333333333</c:v>
                </c:pt>
                <c:pt idx="30">
                  <c:v>1613.33333333333</c:v>
                </c:pt>
                <c:pt idx="31">
                  <c:v>1613.33333333333</c:v>
                </c:pt>
                <c:pt idx="32">
                  <c:v>1613.33333333333</c:v>
                </c:pt>
                <c:pt idx="33">
                  <c:v>1613.33333333333</c:v>
                </c:pt>
                <c:pt idx="34">
                  <c:v>1613.33333333333</c:v>
                </c:pt>
                <c:pt idx="35">
                  <c:v>1613.33333333333</c:v>
                </c:pt>
                <c:pt idx="36">
                  <c:v>1613.33333333333</c:v>
                </c:pt>
                <c:pt idx="37">
                  <c:v>1613.33333333333</c:v>
                </c:pt>
                <c:pt idx="38">
                  <c:v>1613.33333333333</c:v>
                </c:pt>
                <c:pt idx="39">
                  <c:v>1613.33333333333</c:v>
                </c:pt>
                <c:pt idx="40">
                  <c:v>1613.33333333333</c:v>
                </c:pt>
                <c:pt idx="41">
                  <c:v>1613.33333333333</c:v>
                </c:pt>
                <c:pt idx="42">
                  <c:v>1613.33333333333</c:v>
                </c:pt>
                <c:pt idx="43">
                  <c:v>1613.33333333333</c:v>
                </c:pt>
                <c:pt idx="44">
                  <c:v>1613.33333333333</c:v>
                </c:pt>
                <c:pt idx="45">
                  <c:v>1613.33333333333</c:v>
                </c:pt>
                <c:pt idx="46">
                  <c:v>1613.33333333333</c:v>
                </c:pt>
                <c:pt idx="47">
                  <c:v>1613.33333333333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22850"/>
        <c:axId val="30761337"/>
      </c:lineChart>
      <c:catAx>
        <c:axId val="2222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 desde lanzamiento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61337"/>
        <c:crosses val="autoZero"/>
        <c:auto val="1"/>
        <c:lblAlgn val="ctr"/>
        <c:lblOffset val="100"/>
        <c:noMultiLvlLbl val="0"/>
      </c:catAx>
      <c:valAx>
        <c:axId val="30761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 /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228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53</xdr:row>
      <xdr:rowOff>0</xdr:rowOff>
    </xdr:from>
    <xdr:to>
      <xdr:col>10</xdr:col>
      <xdr:colOff>116640</xdr:colOff>
      <xdr:row>79</xdr:row>
      <xdr:rowOff>86400</xdr:rowOff>
    </xdr:to>
    <xdr:graphicFrame>
      <xdr:nvGraphicFramePr>
        <xdr:cNvPr id="1" name="Chart 1"/>
        <xdr:cNvGraphicFramePr/>
      </xdr:nvGraphicFramePr>
      <xdr:xfrm>
        <a:off x="0" y="104774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38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3" customFormat="false" ht="21.75" hidden="false" customHeight="true" outlineLevel="0" collapsed="false">
      <c r="A3" s="3" t="s">
        <v>2</v>
      </c>
      <c r="B3" s="3"/>
      <c r="C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</row>
    <row r="5" customFormat="false" ht="18" hidden="false" customHeight="true" outlineLevel="0" collapsed="false">
      <c r="A5" s="6" t="s">
        <v>6</v>
      </c>
      <c r="B5" s="7" t="n">
        <v>5000</v>
      </c>
      <c r="C5" s="8" t="s">
        <v>7</v>
      </c>
    </row>
    <row r="6" customFormat="false" ht="18" hidden="false" customHeight="true" outlineLevel="0" collapsed="false">
      <c r="A6" s="6" t="s">
        <v>8</v>
      </c>
      <c r="B6" s="9" t="n">
        <v>0.03</v>
      </c>
      <c r="C6" s="8" t="s">
        <v>9</v>
      </c>
    </row>
    <row r="7" customFormat="false" ht="18" hidden="false" customHeight="true" outlineLevel="0" collapsed="false">
      <c r="A7" s="6" t="s">
        <v>10</v>
      </c>
      <c r="B7" s="9" t="n">
        <v>0.05</v>
      </c>
      <c r="C7" s="8" t="s">
        <v>11</v>
      </c>
    </row>
    <row r="8" customFormat="false" ht="18" hidden="false" customHeight="true" outlineLevel="0" collapsed="false">
      <c r="A8" s="6" t="s">
        <v>12</v>
      </c>
      <c r="B8" s="10" t="n">
        <v>20</v>
      </c>
      <c r="C8" s="8" t="s">
        <v>13</v>
      </c>
    </row>
    <row r="9" customFormat="false" ht="18" hidden="false" customHeight="true" outlineLevel="0" collapsed="false">
      <c r="A9" s="6" t="s">
        <v>14</v>
      </c>
      <c r="B9" s="11" t="n">
        <v>19360</v>
      </c>
      <c r="C9" s="8" t="s">
        <v>15</v>
      </c>
    </row>
    <row r="10" customFormat="false" ht="18" hidden="false" customHeight="true" outlineLevel="0" collapsed="false">
      <c r="A10" s="6" t="s">
        <v>16</v>
      </c>
      <c r="B10" s="11" t="n">
        <v>292680</v>
      </c>
      <c r="C10" s="8" t="s">
        <v>17</v>
      </c>
    </row>
    <row r="11" customFormat="false" ht="18" hidden="false" customHeight="true" outlineLevel="0" collapsed="false">
      <c r="A11" s="6" t="s">
        <v>18</v>
      </c>
      <c r="B11" s="12" t="s">
        <v>19</v>
      </c>
      <c r="C11" s="8" t="s">
        <v>20</v>
      </c>
    </row>
    <row r="12" customFormat="false" ht="21.75" hidden="false" customHeight="true" outlineLevel="0" collapsed="false">
      <c r="A12" s="13" t="s">
        <v>21</v>
      </c>
      <c r="B12" s="13"/>
      <c r="C12" s="13"/>
    </row>
    <row r="13" customFormat="false" ht="18" hidden="false" customHeight="true" outlineLevel="0" collapsed="false">
      <c r="A13" s="14" t="s">
        <v>3</v>
      </c>
      <c r="B13" s="15" t="s">
        <v>4</v>
      </c>
      <c r="C13" s="15" t="s">
        <v>5</v>
      </c>
    </row>
    <row r="14" customFormat="false" ht="18" hidden="false" customHeight="true" outlineLevel="0" collapsed="false">
      <c r="A14" s="6" t="s">
        <v>22</v>
      </c>
      <c r="B14" s="16" t="n">
        <f aca="false">IF(LOWER(B11)="azure",B10/12,B9/12)</f>
        <v>1613.33333333333</v>
      </c>
      <c r="C14" s="8" t="s">
        <v>23</v>
      </c>
    </row>
    <row r="15" customFormat="false" ht="18" hidden="false" customHeight="true" outlineLevel="0" collapsed="false">
      <c r="A15" s="6" t="s">
        <v>24</v>
      </c>
      <c r="B15" s="17" t="n">
        <f aca="false">B6*0.6</f>
        <v>0.018</v>
      </c>
      <c r="C15" s="8" t="s">
        <v>25</v>
      </c>
    </row>
    <row r="16" customFormat="false" ht="18" hidden="false" customHeight="true" outlineLevel="0" collapsed="false">
      <c r="A16" s="6" t="s">
        <v>26</v>
      </c>
      <c r="B16" s="17" t="n">
        <f aca="false">B7*2</f>
        <v>0.1</v>
      </c>
      <c r="C16" s="8" t="s">
        <v>27</v>
      </c>
    </row>
    <row r="17" customFormat="false" ht="18" hidden="false" customHeight="true" outlineLevel="0" collapsed="false">
      <c r="A17" s="6" t="s">
        <v>28</v>
      </c>
      <c r="B17" s="17" t="n">
        <f aca="false">B6*1.5</f>
        <v>0.045</v>
      </c>
      <c r="C17" s="8" t="s">
        <v>29</v>
      </c>
    </row>
    <row r="18" customFormat="false" ht="18" hidden="false" customHeight="true" outlineLevel="0" collapsed="false">
      <c r="A18" s="6" t="s">
        <v>30</v>
      </c>
      <c r="B18" s="17" t="n">
        <f aca="false">B7*0.5</f>
        <v>0.025</v>
      </c>
      <c r="C18" s="8" t="s">
        <v>31</v>
      </c>
    </row>
    <row r="19" customFormat="false" ht="21.75" hidden="false" customHeight="true" outlineLevel="0" collapsed="false">
      <c r="A19" s="13" t="s">
        <v>32</v>
      </c>
      <c r="B19" s="13"/>
      <c r="C19" s="13"/>
    </row>
    <row r="20" customFormat="false" ht="18" hidden="false" customHeight="true" outlineLevel="0" collapsed="false">
      <c r="A20" s="18" t="s">
        <v>3</v>
      </c>
      <c r="B20" s="19" t="s">
        <v>4</v>
      </c>
      <c r="C20" s="19" t="s">
        <v>5</v>
      </c>
    </row>
    <row r="21" customFormat="false" ht="18" hidden="false" customHeight="true" outlineLevel="0" collapsed="false">
      <c r="A21" s="6" t="s">
        <v>33</v>
      </c>
      <c r="B21" s="20" t="n">
        <f aca="false">B5*B6/(B6+B7)</f>
        <v>1875</v>
      </c>
      <c r="C21" s="8" t="s">
        <v>34</v>
      </c>
    </row>
    <row r="22" customFormat="false" ht="18" hidden="false" customHeight="true" outlineLevel="0" collapsed="false">
      <c r="A22" s="6" t="s">
        <v>35</v>
      </c>
      <c r="B22" s="17" t="n">
        <f aca="false">B21/B5</f>
        <v>0.375</v>
      </c>
      <c r="C22" s="8" t="s">
        <v>36</v>
      </c>
    </row>
    <row r="23" customFormat="false" ht="18" hidden="false" customHeight="true" outlineLevel="0" collapsed="false">
      <c r="A23" s="6" t="s">
        <v>37</v>
      </c>
      <c r="B23" s="21" t="n">
        <f aca="false">B21*B8</f>
        <v>37500</v>
      </c>
      <c r="C23" s="8" t="s">
        <v>38</v>
      </c>
    </row>
    <row r="24" customFormat="false" ht="18" hidden="false" customHeight="true" outlineLevel="0" collapsed="false">
      <c r="A24" s="6" t="s">
        <v>39</v>
      </c>
      <c r="B24" s="22" t="str">
        <f aca="false">IF(B23&gt;=B14,"✓  Sí — modelo viable","✗  No — revisar churn o precio")</f>
        <v>✓  Sí — modelo viable</v>
      </c>
      <c r="C24" s="8" t="s">
        <v>40</v>
      </c>
    </row>
    <row r="25" customFormat="false" ht="18" hidden="false" customHeight="true" outlineLevel="0" collapsed="false">
      <c r="A25" s="6" t="s">
        <v>41</v>
      </c>
      <c r="B25" s="21" t="n">
        <f aca="false">IF(B7&gt;0,B8/B7,0)</f>
        <v>400</v>
      </c>
      <c r="C25" s="8" t="s">
        <v>42</v>
      </c>
    </row>
    <row r="26" customFormat="false" ht="18" hidden="false" customHeight="true" outlineLevel="0" collapsed="false">
      <c r="A26" s="6" t="s">
        <v>43</v>
      </c>
      <c r="B26" s="23" t="n">
        <f aca="false">IF(B7&gt;0,1/B7,0)</f>
        <v>20</v>
      </c>
      <c r="C26" s="8" t="s">
        <v>44</v>
      </c>
    </row>
    <row r="28" customFormat="false" ht="21.75" hidden="false" customHeight="true" outlineLevel="0" collapsed="false">
      <c r="A28" s="24" t="s">
        <v>45</v>
      </c>
      <c r="B28" s="24"/>
      <c r="C28" s="24"/>
    </row>
    <row r="29" customFormat="false" ht="15.75" hidden="false" customHeight="true" outlineLevel="0" collapsed="false">
      <c r="A29" s="25" t="s">
        <v>46</v>
      </c>
      <c r="B29" s="26" t="s">
        <v>47</v>
      </c>
      <c r="C29" s="27" t="s">
        <v>48</v>
      </c>
    </row>
    <row r="30" customFormat="false" ht="15.75" hidden="false" customHeight="true" outlineLevel="0" collapsed="false">
      <c r="A30" s="25" t="s">
        <v>49</v>
      </c>
      <c r="B30" s="28" t="s">
        <v>50</v>
      </c>
      <c r="C30" s="27" t="s">
        <v>51</v>
      </c>
    </row>
    <row r="31" customFormat="false" ht="15.75" hidden="false" customHeight="true" outlineLevel="0" collapsed="false">
      <c r="A31" s="25" t="s">
        <v>52</v>
      </c>
      <c r="C31" s="27" t="s">
        <v>53</v>
      </c>
    </row>
  </sheetData>
  <mergeCells count="6">
    <mergeCell ref="A1:C1"/>
    <mergeCell ref="A2:C2"/>
    <mergeCell ref="A3:C3"/>
    <mergeCell ref="A12:C12"/>
    <mergeCell ref="A19:C19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5"/>
    <col collapsed="false" customWidth="true" hidden="false" outlineLevel="0" max="8" min="5" style="0" width="18"/>
  </cols>
  <sheetData>
    <row r="1" customFormat="false" ht="30" hidden="false" customHeight="true" outlineLevel="0" collapsed="false">
      <c r="A1" s="29" t="s">
        <v>54</v>
      </c>
      <c r="B1" s="29"/>
      <c r="C1" s="29"/>
      <c r="D1" s="29"/>
      <c r="E1" s="29"/>
      <c r="F1" s="29"/>
      <c r="G1" s="29"/>
      <c r="H1" s="29"/>
    </row>
    <row r="2" customFormat="false" ht="31.5" hidden="false" customHeight="true" outlineLevel="0" collapsed="false">
      <c r="A2" s="30" t="s">
        <v>55</v>
      </c>
      <c r="B2" s="31" t="s">
        <v>56</v>
      </c>
      <c r="C2" s="32" t="s">
        <v>57</v>
      </c>
      <c r="D2" s="33" t="s">
        <v>58</v>
      </c>
      <c r="E2" s="31" t="s">
        <v>59</v>
      </c>
      <c r="F2" s="32" t="s">
        <v>60</v>
      </c>
      <c r="G2" s="33" t="s">
        <v>61</v>
      </c>
      <c r="H2" s="34" t="s">
        <v>62</v>
      </c>
    </row>
    <row r="3" customFormat="false" ht="13.5" hidden="false" customHeight="true" outlineLevel="0" collapsed="false">
      <c r="A3" s="35" t="s">
        <v>63</v>
      </c>
      <c r="B3" s="35"/>
      <c r="C3" s="35"/>
      <c r="D3" s="35"/>
      <c r="E3" s="35"/>
      <c r="F3" s="35"/>
      <c r="G3" s="35"/>
      <c r="H3" s="35"/>
    </row>
    <row r="4" customFormat="false" ht="15" hidden="false" customHeight="true" outlineLevel="0" collapsed="false">
      <c r="A4" s="36" t="s">
        <v>64</v>
      </c>
      <c r="B4" s="37" t="n">
        <f aca="false">Parámetros!$B$6*Parámetros!$B$5</f>
        <v>150</v>
      </c>
      <c r="C4" s="37" t="n">
        <f aca="false">Parámetros!$B$15*Parámetros!$B$5</f>
        <v>90</v>
      </c>
      <c r="D4" s="37" t="n">
        <f aca="false">Parámetros!$B$17*Parámetros!$B$5</f>
        <v>225</v>
      </c>
      <c r="E4" s="38" t="n">
        <f aca="false">B4*Parámetros!$B$8</f>
        <v>3000</v>
      </c>
      <c r="F4" s="38" t="n">
        <f aca="false">C4*Parámetros!$B$8</f>
        <v>1800</v>
      </c>
      <c r="G4" s="38" t="n">
        <f aca="false">D4*Parámetros!$B$8</f>
        <v>4500</v>
      </c>
      <c r="H4" s="38" t="n">
        <f aca="false">Parámetros!$B$14</f>
        <v>1613.33333333333</v>
      </c>
    </row>
    <row r="5" customFormat="false" ht="15" hidden="false" customHeight="true" outlineLevel="0" collapsed="false">
      <c r="A5" s="39" t="s">
        <v>65</v>
      </c>
      <c r="B5" s="40" t="n">
        <f aca="false">B4*(1-Parámetros!$B$6-Parámetros!$B$7)+Parámetros!$B$6*Parámetros!$B$5</f>
        <v>288</v>
      </c>
      <c r="C5" s="40" t="n">
        <f aca="false">C4*(1-Parámetros!$B$15-Parámetros!$B$16)+Parámetros!$B$15*Parámetros!$B$5</f>
        <v>169.38</v>
      </c>
      <c r="D5" s="40" t="n">
        <f aca="false">D4*(1-Parámetros!$B$17-Parámetros!$B$18)+Parámetros!$B$17*Parámetros!$B$5</f>
        <v>434.25</v>
      </c>
      <c r="E5" s="41" t="n">
        <f aca="false">B5*Parámetros!$B$8</f>
        <v>5760</v>
      </c>
      <c r="F5" s="41" t="n">
        <f aca="false">C5*Parámetros!$B$8</f>
        <v>3387.6</v>
      </c>
      <c r="G5" s="41" t="n">
        <f aca="false">D5*Parámetros!$B$8</f>
        <v>8685</v>
      </c>
      <c r="H5" s="41" t="n">
        <f aca="false">Parámetros!$B$14</f>
        <v>1613.33333333333</v>
      </c>
    </row>
    <row r="6" customFormat="false" ht="15" hidden="false" customHeight="true" outlineLevel="0" collapsed="false">
      <c r="A6" s="36" t="s">
        <v>66</v>
      </c>
      <c r="B6" s="37" t="n">
        <f aca="false">B5*(1-Parámetros!$B$6-Parámetros!$B$7)+Parámetros!$B$6*Parámetros!$B$5</f>
        <v>414.96</v>
      </c>
      <c r="C6" s="37" t="n">
        <f aca="false">C5*(1-Parámetros!$B$15-Parámetros!$B$16)+Parámetros!$B$15*Parámetros!$B$5</f>
        <v>239.39316</v>
      </c>
      <c r="D6" s="37" t="n">
        <f aca="false">D5*(1-Parámetros!$B$17-Parámetros!$B$18)+Parámetros!$B$17*Parámetros!$B$5</f>
        <v>628.8525</v>
      </c>
      <c r="E6" s="38" t="n">
        <f aca="false">B6*Parámetros!$B$8</f>
        <v>8299.2</v>
      </c>
      <c r="F6" s="38" t="n">
        <f aca="false">C6*Parámetros!$B$8</f>
        <v>4787.8632</v>
      </c>
      <c r="G6" s="38" t="n">
        <f aca="false">D6*Parámetros!$B$8</f>
        <v>12577.05</v>
      </c>
      <c r="H6" s="38" t="n">
        <f aca="false">Parámetros!$B$14</f>
        <v>1613.33333333333</v>
      </c>
    </row>
    <row r="7" customFormat="false" ht="15" hidden="false" customHeight="true" outlineLevel="0" collapsed="false">
      <c r="A7" s="39" t="s">
        <v>67</v>
      </c>
      <c r="B7" s="40" t="n">
        <f aca="false">B6*(1-Parámetros!$B$6-Parámetros!$B$7)+Parámetros!$B$6*Parámetros!$B$5</f>
        <v>531.7632</v>
      </c>
      <c r="C7" s="40" t="n">
        <f aca="false">C6*(1-Parámetros!$B$15-Parámetros!$B$16)+Parámetros!$B$15*Parámetros!$B$5</f>
        <v>301.14476712</v>
      </c>
      <c r="D7" s="40" t="n">
        <f aca="false">D6*(1-Parámetros!$B$17-Parámetros!$B$18)+Parámetros!$B$17*Parámetros!$B$5</f>
        <v>809.832825</v>
      </c>
      <c r="E7" s="41" t="n">
        <f aca="false">B7*Parámetros!$B$8</f>
        <v>10635.264</v>
      </c>
      <c r="F7" s="41" t="n">
        <f aca="false">C7*Parámetros!$B$8</f>
        <v>6022.8953424</v>
      </c>
      <c r="G7" s="41" t="n">
        <f aca="false">D7*Parámetros!$B$8</f>
        <v>16196.6565</v>
      </c>
      <c r="H7" s="41" t="n">
        <f aca="false">Parámetros!$B$14</f>
        <v>1613.33333333333</v>
      </c>
    </row>
    <row r="8" customFormat="false" ht="15" hidden="false" customHeight="true" outlineLevel="0" collapsed="false">
      <c r="A8" s="36" t="s">
        <v>68</v>
      </c>
      <c r="B8" s="37" t="n">
        <f aca="false">B7*(1-Parámetros!$B$6-Parámetros!$B$7)+Parámetros!$B$6*Parámetros!$B$5</f>
        <v>639.222144</v>
      </c>
      <c r="C8" s="37" t="n">
        <f aca="false">C7*(1-Parámetros!$B$15-Parámetros!$B$16)+Parámetros!$B$15*Parámetros!$B$5</f>
        <v>355.60968459984</v>
      </c>
      <c r="D8" s="37" t="n">
        <f aca="false">D7*(1-Parámetros!$B$17-Parámetros!$B$18)+Parámetros!$B$17*Parámetros!$B$5</f>
        <v>978.14452725</v>
      </c>
      <c r="E8" s="38" t="n">
        <f aca="false">B8*Parámetros!$B$8</f>
        <v>12784.44288</v>
      </c>
      <c r="F8" s="38" t="n">
        <f aca="false">C8*Parámetros!$B$8</f>
        <v>7112.1936919968</v>
      </c>
      <c r="G8" s="38" t="n">
        <f aca="false">D8*Parámetros!$B$8</f>
        <v>19562.890545</v>
      </c>
      <c r="H8" s="38" t="n">
        <f aca="false">Parámetros!$B$14</f>
        <v>1613.33333333333</v>
      </c>
    </row>
    <row r="9" customFormat="false" ht="15" hidden="false" customHeight="true" outlineLevel="0" collapsed="false">
      <c r="A9" s="39" t="s">
        <v>69</v>
      </c>
      <c r="B9" s="40" t="n">
        <f aca="false">B8*(1-Parámetros!$B$6-Parámetros!$B$7)+Parámetros!$B$6*Parámetros!$B$5</f>
        <v>738.08437248</v>
      </c>
      <c r="C9" s="40" t="n">
        <f aca="false">C8*(1-Parámetros!$B$15-Parámetros!$B$16)+Parámetros!$B$15*Parámetros!$B$5</f>
        <v>403.647741817059</v>
      </c>
      <c r="D9" s="40" t="n">
        <f aca="false">D8*(1-Parámetros!$B$17-Parámetros!$B$18)+Parámetros!$B$17*Parámetros!$B$5</f>
        <v>1134.6744103425</v>
      </c>
      <c r="E9" s="41" t="n">
        <f aca="false">B9*Parámetros!$B$8</f>
        <v>14761.6874496</v>
      </c>
      <c r="F9" s="41" t="n">
        <f aca="false">C9*Parámetros!$B$8</f>
        <v>8072.95483634118</v>
      </c>
      <c r="G9" s="41" t="n">
        <f aca="false">D9*Parámetros!$B$8</f>
        <v>22693.48820685</v>
      </c>
      <c r="H9" s="41" t="n">
        <f aca="false">Parámetros!$B$14</f>
        <v>1613.33333333333</v>
      </c>
    </row>
    <row r="10" customFormat="false" ht="15" hidden="false" customHeight="true" outlineLevel="0" collapsed="false">
      <c r="A10" s="36" t="s">
        <v>70</v>
      </c>
      <c r="B10" s="37" t="n">
        <f aca="false">B9*(1-Parámetros!$B$6-Parámetros!$B$7)+Parámetros!$B$6*Parámetros!$B$5</f>
        <v>829.0376226816</v>
      </c>
      <c r="C10" s="37" t="n">
        <f aca="false">C9*(1-Parámetros!$B$15-Parámetros!$B$16)+Parámetros!$B$15*Parámetros!$B$5</f>
        <v>446.017308282646</v>
      </c>
      <c r="D10" s="37" t="n">
        <f aca="false">D9*(1-Parámetros!$B$17-Parámetros!$B$18)+Parámetros!$B$17*Parámetros!$B$5</f>
        <v>1280.24720161852</v>
      </c>
      <c r="E10" s="38" t="n">
        <f aca="false">B10*Parámetros!$B$8</f>
        <v>16580.752453632</v>
      </c>
      <c r="F10" s="38" t="n">
        <f aca="false">C10*Parámetros!$B$8</f>
        <v>8920.34616565292</v>
      </c>
      <c r="G10" s="38" t="n">
        <f aca="false">D10*Parámetros!$B$8</f>
        <v>25604.9440323705</v>
      </c>
      <c r="H10" s="38" t="n">
        <f aca="false">Parámetros!$B$14</f>
        <v>1613.33333333333</v>
      </c>
    </row>
    <row r="11" customFormat="false" ht="15" hidden="false" customHeight="true" outlineLevel="0" collapsed="false">
      <c r="A11" s="39" t="s">
        <v>71</v>
      </c>
      <c r="B11" s="40" t="n">
        <f aca="false">B10*(1-Parámetros!$B$6-Parámetros!$B$7)+Parámetros!$B$6*Parámetros!$B$5</f>
        <v>912.714612867072</v>
      </c>
      <c r="C11" s="40" t="n">
        <f aca="false">C10*(1-Parámetros!$B$15-Parámetros!$B$16)+Parámetros!$B$15*Parámetros!$B$5</f>
        <v>483.387265905294</v>
      </c>
      <c r="D11" s="40" t="n">
        <f aca="false">D10*(1-Parámetros!$B$17-Parámetros!$B$18)+Parámetros!$B$17*Parámetros!$B$5</f>
        <v>1415.62989750523</v>
      </c>
      <c r="E11" s="41" t="n">
        <f aca="false">B11*Parámetros!$B$8</f>
        <v>18254.2922573414</v>
      </c>
      <c r="F11" s="41" t="n">
        <f aca="false">C11*Parámetros!$B$8</f>
        <v>9667.74531810587</v>
      </c>
      <c r="G11" s="41" t="n">
        <f aca="false">D11*Parámetros!$B$8</f>
        <v>28312.5979501046</v>
      </c>
      <c r="H11" s="41" t="n">
        <f aca="false">Parámetros!$B$14</f>
        <v>1613.33333333333</v>
      </c>
    </row>
    <row r="12" customFormat="false" ht="15" hidden="false" customHeight="true" outlineLevel="0" collapsed="false">
      <c r="A12" s="36" t="s">
        <v>72</v>
      </c>
      <c r="B12" s="37" t="n">
        <f aca="false">B11*(1-Parámetros!$B$6-Parámetros!$B$7)+Parámetros!$B$6*Parámetros!$B$5</f>
        <v>989.697443837706</v>
      </c>
      <c r="C12" s="37" t="n">
        <f aca="false">C11*(1-Parámetros!$B$15-Parámetros!$B$16)+Parámetros!$B$15*Parámetros!$B$5</f>
        <v>516.347568528469</v>
      </c>
      <c r="D12" s="37" t="n">
        <f aca="false">D11*(1-Parámetros!$B$17-Parámetros!$B$18)+Parámetros!$B$17*Parámetros!$B$5</f>
        <v>1541.53580467986</v>
      </c>
      <c r="E12" s="38" t="n">
        <f aca="false">B12*Parámetros!$B$8</f>
        <v>19793.9488767541</v>
      </c>
      <c r="F12" s="38" t="n">
        <f aca="false">C12*Parámetros!$B$8</f>
        <v>10326.9513705694</v>
      </c>
      <c r="G12" s="38" t="n">
        <f aca="false">D12*Parámetros!$B$8</f>
        <v>30830.7160935972</v>
      </c>
      <c r="H12" s="38" t="n">
        <f aca="false">Parámetros!$B$14</f>
        <v>1613.33333333333</v>
      </c>
    </row>
    <row r="13" customFormat="false" ht="15" hidden="false" customHeight="true" outlineLevel="0" collapsed="false">
      <c r="A13" s="39" t="s">
        <v>73</v>
      </c>
      <c r="B13" s="40" t="n">
        <f aca="false">B12*(1-Parámetros!$B$6-Parámetros!$B$7)+Parámetros!$B$6*Parámetros!$B$5</f>
        <v>1060.52164833069</v>
      </c>
      <c r="C13" s="40" t="n">
        <f aca="false">C12*(1-Parámetros!$B$15-Parámetros!$B$16)+Parámetros!$B$15*Parámetros!$B$5</f>
        <v>545.41855544211</v>
      </c>
      <c r="D13" s="40" t="n">
        <f aca="false">D12*(1-Parámetros!$B$17-Parámetros!$B$18)+Parámetros!$B$17*Parámetros!$B$5</f>
        <v>1658.62829835227</v>
      </c>
      <c r="E13" s="41" t="n">
        <f aca="false">B13*Parámetros!$B$8</f>
        <v>21210.4329666138</v>
      </c>
      <c r="F13" s="41" t="n">
        <f aca="false">C13*Parámetros!$B$8</f>
        <v>10908.3711088422</v>
      </c>
      <c r="G13" s="41" t="n">
        <f aca="false">D13*Parámetros!$B$8</f>
        <v>33172.5659670454</v>
      </c>
      <c r="H13" s="41" t="n">
        <f aca="false">Parámetros!$B$14</f>
        <v>1613.33333333333</v>
      </c>
    </row>
    <row r="14" customFormat="false" ht="15" hidden="false" customHeight="true" outlineLevel="0" collapsed="false">
      <c r="A14" s="36" t="s">
        <v>74</v>
      </c>
      <c r="B14" s="37" t="n">
        <f aca="false">B13*(1-Parámetros!$B$6-Parámetros!$B$7)+Parámetros!$B$6*Parámetros!$B$5</f>
        <v>1125.67991646423</v>
      </c>
      <c r="C14" s="37" t="n">
        <f aca="false">C13*(1-Parámetros!$B$15-Parámetros!$B$16)+Parámetros!$B$15*Parámetros!$B$5</f>
        <v>571.059165899941</v>
      </c>
      <c r="D14" s="37" t="n">
        <f aca="false">D13*(1-Parámetros!$B$17-Parámetros!$B$18)+Parámetros!$B$17*Parámetros!$B$5</f>
        <v>1767.52431746761</v>
      </c>
      <c r="E14" s="38" t="n">
        <f aca="false">B14*Parámetros!$B$8</f>
        <v>22513.5983292847</v>
      </c>
      <c r="F14" s="38" t="n">
        <f aca="false">C14*Parámetros!$B$8</f>
        <v>11421.1833179988</v>
      </c>
      <c r="G14" s="38" t="n">
        <f aca="false">D14*Parámetros!$B$8</f>
        <v>35350.4863493523</v>
      </c>
      <c r="H14" s="38" t="n">
        <f aca="false">Parámetros!$B$14</f>
        <v>1613.33333333333</v>
      </c>
    </row>
    <row r="15" customFormat="false" ht="15" hidden="false" customHeight="true" outlineLevel="0" collapsed="false">
      <c r="A15" s="39" t="s">
        <v>75</v>
      </c>
      <c r="B15" s="40" t="n">
        <f aca="false">B14*(1-Parámetros!$B$6-Parámetros!$B$7)+Parámetros!$B$6*Parámetros!$B$5</f>
        <v>1185.6255231471</v>
      </c>
      <c r="C15" s="40" t="n">
        <f aca="false">C14*(1-Parámetros!$B$15-Parámetros!$B$16)+Parámetros!$B$15*Parámetros!$B$5</f>
        <v>593.674184323748</v>
      </c>
      <c r="D15" s="40" t="n">
        <f aca="false">D14*(1-Parámetros!$B$17-Parámetros!$B$18)+Parámetros!$B$17*Parámetros!$B$5</f>
        <v>1868.79761524488</v>
      </c>
      <c r="E15" s="41" t="n">
        <f aca="false">B15*Parámetros!$B$8</f>
        <v>23712.5104629419</v>
      </c>
      <c r="F15" s="41" t="n">
        <f aca="false">C15*Parámetros!$B$8</f>
        <v>11873.483686475</v>
      </c>
      <c r="G15" s="41" t="n">
        <f aca="false">D15*Parámetros!$B$8</f>
        <v>37375.9523048976</v>
      </c>
      <c r="H15" s="41" t="n">
        <f aca="false">Parámetros!$B$14</f>
        <v>1613.33333333333</v>
      </c>
    </row>
    <row r="16" customFormat="false" ht="15" hidden="false" customHeight="true" outlineLevel="0" collapsed="false">
      <c r="A16" s="36" t="s">
        <v>76</v>
      </c>
      <c r="B16" s="37" t="n">
        <f aca="false">B15*(1-Parámetros!$B$6-Parámetros!$B$7)+Parámetros!$B$6*Parámetros!$B$5</f>
        <v>1240.77548129533</v>
      </c>
      <c r="C16" s="37" t="n">
        <f aca="false">C15*(1-Parámetros!$B$15-Parámetros!$B$16)+Parámetros!$B$15*Parámetros!$B$5</f>
        <v>613.620630573546</v>
      </c>
      <c r="D16" s="37" t="n">
        <f aca="false">D15*(1-Parámetros!$B$17-Parámetros!$B$18)+Parámetros!$B$17*Parámetros!$B$5</f>
        <v>1962.98178217774</v>
      </c>
      <c r="E16" s="38" t="n">
        <f aca="false">B16*Parámetros!$B$8</f>
        <v>24815.5096259066</v>
      </c>
      <c r="F16" s="38" t="n">
        <f aca="false">C16*Parámetros!$B$8</f>
        <v>12272.4126114709</v>
      </c>
      <c r="G16" s="38" t="n">
        <f aca="false">D16*Parámetros!$B$8</f>
        <v>39259.6356435548</v>
      </c>
      <c r="H16" s="38" t="n">
        <f aca="false">Parámetros!$B$14</f>
        <v>1613.33333333333</v>
      </c>
    </row>
    <row r="17" customFormat="false" ht="15" hidden="false" customHeight="true" outlineLevel="0" collapsed="false">
      <c r="A17" s="39" t="s">
        <v>77</v>
      </c>
      <c r="B17" s="40" t="n">
        <f aca="false">B16*(1-Parámetros!$B$6-Parámetros!$B$7)+Parámetros!$B$6*Parámetros!$B$5</f>
        <v>1291.5134427917</v>
      </c>
      <c r="C17" s="40" t="n">
        <f aca="false">C16*(1-Parámetros!$B$15-Parámetros!$B$16)+Parámetros!$B$15*Parámetros!$B$5</f>
        <v>631.213396165867</v>
      </c>
      <c r="D17" s="40" t="n">
        <f aca="false">D16*(1-Parámetros!$B$17-Parámetros!$B$18)+Parámetros!$B$17*Parámetros!$B$5</f>
        <v>2050.5730574253</v>
      </c>
      <c r="E17" s="41" t="n">
        <f aca="false">B17*Parámetros!$B$8</f>
        <v>25830.268855834</v>
      </c>
      <c r="F17" s="41" t="n">
        <f aca="false">C17*Parámetros!$B$8</f>
        <v>12624.2679233173</v>
      </c>
      <c r="G17" s="41" t="n">
        <f aca="false">D17*Parámetros!$B$8</f>
        <v>41011.4611485059</v>
      </c>
      <c r="H17" s="41" t="n">
        <f aca="false">Parámetros!$B$14</f>
        <v>1613.33333333333</v>
      </c>
    </row>
    <row r="18" customFormat="false" ht="15" hidden="false" customHeight="true" outlineLevel="0" collapsed="false">
      <c r="A18" s="36" t="s">
        <v>78</v>
      </c>
      <c r="B18" s="37" t="n">
        <f aca="false">B17*(1-Parámetros!$B$6-Parámetros!$B$7)+Parámetros!$B$6*Parámetros!$B$5</f>
        <v>1338.19236736837</v>
      </c>
      <c r="C18" s="37" t="n">
        <f aca="false">C17*(1-Parámetros!$B$15-Parámetros!$B$16)+Parámetros!$B$15*Parámetros!$B$5</f>
        <v>646.730215418295</v>
      </c>
      <c r="D18" s="37" t="n">
        <f aca="false">D17*(1-Parámetros!$B$17-Parámetros!$B$18)+Parámetros!$B$17*Parámetros!$B$5</f>
        <v>2132.03294340553</v>
      </c>
      <c r="E18" s="38" t="n">
        <f aca="false">B18*Parámetros!$B$8</f>
        <v>26763.8473473673</v>
      </c>
      <c r="F18" s="38" t="n">
        <f aca="false">C18*Parámetros!$B$8</f>
        <v>12934.6043083659</v>
      </c>
      <c r="G18" s="38" t="n">
        <f aca="false">D18*Parámetros!$B$8</f>
        <v>42640.6588681105</v>
      </c>
      <c r="H18" s="38" t="n">
        <f aca="false">Parámetros!$B$14</f>
        <v>1613.33333333333</v>
      </c>
    </row>
    <row r="19" customFormat="false" ht="15" hidden="false" customHeight="true" outlineLevel="0" collapsed="false">
      <c r="A19" s="39" t="s">
        <v>79</v>
      </c>
      <c r="B19" s="40" t="n">
        <f aca="false">B18*(1-Parámetros!$B$6-Parámetros!$B$7)+Parámetros!$B$6*Parámetros!$B$5</f>
        <v>1381.1369779789</v>
      </c>
      <c r="C19" s="40" t="n">
        <f aca="false">C18*(1-Parámetros!$B$15-Parámetros!$B$16)+Parámetros!$B$15*Parámetros!$B$5</f>
        <v>660.416049998936</v>
      </c>
      <c r="D19" s="40" t="n">
        <f aca="false">D18*(1-Parámetros!$B$17-Parámetros!$B$18)+Parámetros!$B$17*Parámetros!$B$5</f>
        <v>2207.79063736714</v>
      </c>
      <c r="E19" s="41" t="n">
        <f aca="false">B19*Parámetros!$B$8</f>
        <v>27622.7395595779</v>
      </c>
      <c r="F19" s="41" t="n">
        <f aca="false">C19*Parámetros!$B$8</f>
        <v>13208.3209999787</v>
      </c>
      <c r="G19" s="41" t="n">
        <f aca="false">D19*Parámetros!$B$8</f>
        <v>44155.8127473428</v>
      </c>
      <c r="H19" s="41" t="n">
        <f aca="false">Parámetros!$B$14</f>
        <v>1613.33333333333</v>
      </c>
    </row>
    <row r="20" customFormat="false" ht="15" hidden="false" customHeight="true" outlineLevel="0" collapsed="false">
      <c r="A20" s="36" t="s">
        <v>80</v>
      </c>
      <c r="B20" s="37" t="n">
        <f aca="false">B19*(1-Parámetros!$B$6-Parámetros!$B$7)+Parámetros!$B$6*Parámetros!$B$5</f>
        <v>1420.64601974058</v>
      </c>
      <c r="C20" s="37" t="n">
        <f aca="false">C19*(1-Parámetros!$B$15-Parámetros!$B$16)+Parámetros!$B$15*Parámetros!$B$5</f>
        <v>672.486956099062</v>
      </c>
      <c r="D20" s="37" t="n">
        <f aca="false">D19*(1-Parámetros!$B$17-Parámetros!$B$18)+Parámetros!$B$17*Parámetros!$B$5</f>
        <v>2278.24529275144</v>
      </c>
      <c r="E20" s="38" t="n">
        <f aca="false">B20*Parámetros!$B$8</f>
        <v>28412.9203948117</v>
      </c>
      <c r="F20" s="38" t="n">
        <f aca="false">C20*Parámetros!$B$8</f>
        <v>13449.7391219812</v>
      </c>
      <c r="G20" s="38" t="n">
        <f aca="false">D20*Parámetros!$B$8</f>
        <v>45564.9058550288</v>
      </c>
      <c r="H20" s="38" t="n">
        <f aca="false">Parámetros!$B$14</f>
        <v>1613.33333333333</v>
      </c>
    </row>
    <row r="21" customFormat="false" ht="15" hidden="false" customHeight="true" outlineLevel="0" collapsed="false">
      <c r="A21" s="39" t="s">
        <v>81</v>
      </c>
      <c r="B21" s="40" t="n">
        <f aca="false">B20*(1-Parámetros!$B$6-Parámetros!$B$7)+Parámetros!$B$6*Parámetros!$B$5</f>
        <v>1456.99433816134</v>
      </c>
      <c r="C21" s="40" t="n">
        <f aca="false">C20*(1-Parámetros!$B$15-Parámetros!$B$16)+Parámetros!$B$15*Parámetros!$B$5</f>
        <v>683.133495279372</v>
      </c>
      <c r="D21" s="40" t="n">
        <f aca="false">D20*(1-Parámetros!$B$17-Parámetros!$B$18)+Parámetros!$B$17*Parámetros!$B$5</f>
        <v>2343.76812225884</v>
      </c>
      <c r="E21" s="41" t="n">
        <f aca="false">B21*Parámetros!$B$8</f>
        <v>29139.8867632267</v>
      </c>
      <c r="F21" s="41" t="n">
        <f aca="false">C21*Parámetros!$B$8</f>
        <v>13662.6699055874</v>
      </c>
      <c r="G21" s="41" t="n">
        <f aca="false">D21*Parámetros!$B$8</f>
        <v>46875.3624451768</v>
      </c>
      <c r="H21" s="41" t="n">
        <f aca="false">Parámetros!$B$14</f>
        <v>1613.33333333333</v>
      </c>
    </row>
    <row r="22" customFormat="false" ht="15" hidden="false" customHeight="true" outlineLevel="0" collapsed="false">
      <c r="A22" s="36" t="s">
        <v>82</v>
      </c>
      <c r="B22" s="37" t="n">
        <f aca="false">B21*(1-Parámetros!$B$6-Parámetros!$B$7)+Parámetros!$B$6*Parámetros!$B$5</f>
        <v>1490.43479110843</v>
      </c>
      <c r="C22" s="37" t="n">
        <f aca="false">C21*(1-Parámetros!$B$15-Parámetros!$B$16)+Parámetros!$B$15*Parámetros!$B$5</f>
        <v>692.523742836406</v>
      </c>
      <c r="D22" s="37" t="n">
        <f aca="false">D21*(1-Parámetros!$B$17-Parámetros!$B$18)+Parámetros!$B$17*Parámetros!$B$5</f>
        <v>2404.70435370072</v>
      </c>
      <c r="E22" s="38" t="n">
        <f aca="false">B22*Parámetros!$B$8</f>
        <v>29808.6958221686</v>
      </c>
      <c r="F22" s="38" t="n">
        <f aca="false">C22*Parámetros!$B$8</f>
        <v>13850.4748567281</v>
      </c>
      <c r="G22" s="38" t="n">
        <f aca="false">D22*Parámetros!$B$8</f>
        <v>48094.0870740144</v>
      </c>
      <c r="H22" s="38" t="n">
        <f aca="false">Parámetros!$B$14</f>
        <v>1613.33333333333</v>
      </c>
    </row>
    <row r="23" customFormat="false" ht="15" hidden="false" customHeight="true" outlineLevel="0" collapsed="false">
      <c r="A23" s="39" t="s">
        <v>83</v>
      </c>
      <c r="B23" s="40" t="n">
        <f aca="false">B22*(1-Parámetros!$B$6-Parámetros!$B$7)+Parámetros!$B$6*Parámetros!$B$5</f>
        <v>1521.20000781976</v>
      </c>
      <c r="C23" s="40" t="n">
        <f aca="false">C22*(1-Parámetros!$B$15-Parámetros!$B$16)+Parámetros!$B$15*Parámetros!$B$5</f>
        <v>700.80594118171</v>
      </c>
      <c r="D23" s="40" t="n">
        <f aca="false">D22*(1-Parámetros!$B$17-Parámetros!$B$18)+Parámetros!$B$17*Parámetros!$B$5</f>
        <v>2461.37504894167</v>
      </c>
      <c r="E23" s="41" t="n">
        <f aca="false">B23*Parámetros!$B$8</f>
        <v>30424.0001563951</v>
      </c>
      <c r="F23" s="41" t="n">
        <f aca="false">C23*Parámetros!$B$8</f>
        <v>14016.1188236342</v>
      </c>
      <c r="G23" s="41" t="n">
        <f aca="false">D23*Parámetros!$B$8</f>
        <v>49227.5009788334</v>
      </c>
      <c r="H23" s="41" t="n">
        <f aca="false">Parámetros!$B$14</f>
        <v>1613.33333333333</v>
      </c>
    </row>
    <row r="24" customFormat="false" ht="15" hidden="false" customHeight="true" outlineLevel="0" collapsed="false">
      <c r="A24" s="36" t="s">
        <v>84</v>
      </c>
      <c r="B24" s="37" t="n">
        <f aca="false">B23*(1-Parámetros!$B$6-Parámetros!$B$7)+Parámetros!$B$6*Parámetros!$B$5</f>
        <v>1549.50400719418</v>
      </c>
      <c r="C24" s="37" t="n">
        <f aca="false">C23*(1-Parámetros!$B$15-Parámetros!$B$16)+Parámetros!$B$15*Parámetros!$B$5</f>
        <v>708.110840122269</v>
      </c>
      <c r="D24" s="37" t="n">
        <f aca="false">D23*(1-Parámetros!$B$17-Parámetros!$B$18)+Parámetros!$B$17*Parámetros!$B$5</f>
        <v>2514.07879551575</v>
      </c>
      <c r="E24" s="38" t="n">
        <f aca="false">B24*Parámetros!$B$8</f>
        <v>30990.0801438835</v>
      </c>
      <c r="F24" s="38" t="n">
        <f aca="false">C24*Parámetros!$B$8</f>
        <v>14162.2168024454</v>
      </c>
      <c r="G24" s="38" t="n">
        <f aca="false">D24*Parámetros!$B$8</f>
        <v>50281.575910315</v>
      </c>
      <c r="H24" s="38" t="n">
        <f aca="false">Parámetros!$B$14</f>
        <v>1613.33333333333</v>
      </c>
    </row>
    <row r="25" customFormat="false" ht="15" hidden="false" customHeight="true" outlineLevel="0" collapsed="false">
      <c r="A25" s="39" t="s">
        <v>85</v>
      </c>
      <c r="B25" s="40" t="n">
        <f aca="false">B24*(1-Parámetros!$B$6-Parámetros!$B$7)+Parámetros!$B$6*Parámetros!$B$5</f>
        <v>1575.54368661864</v>
      </c>
      <c r="C25" s="40" t="n">
        <f aca="false">C24*(1-Parámetros!$B$15-Parámetros!$B$16)+Parámetros!$B$15*Parámetros!$B$5</f>
        <v>714.553760987841</v>
      </c>
      <c r="D25" s="40" t="n">
        <f aca="false">D24*(1-Parámetros!$B$17-Parámetros!$B$18)+Parámetros!$B$17*Parámetros!$B$5</f>
        <v>2563.09327982965</v>
      </c>
      <c r="E25" s="41" t="n">
        <f aca="false">B25*Parámetros!$B$8</f>
        <v>31510.8737323728</v>
      </c>
      <c r="F25" s="41" t="n">
        <f aca="false">C25*Parámetros!$B$8</f>
        <v>14291.0752197568</v>
      </c>
      <c r="G25" s="41" t="n">
        <f aca="false">D25*Parámetros!$B$8</f>
        <v>51261.865596593</v>
      </c>
      <c r="H25" s="41" t="n">
        <f aca="false">Parámetros!$B$14</f>
        <v>1613.33333333333</v>
      </c>
    </row>
    <row r="26" customFormat="false" ht="15" hidden="false" customHeight="true" outlineLevel="0" collapsed="false">
      <c r="A26" s="36" t="s">
        <v>86</v>
      </c>
      <c r="B26" s="37" t="n">
        <f aca="false">B25*(1-Parámetros!$B$6-Parámetros!$B$7)+Parámetros!$B$6*Parámetros!$B$5</f>
        <v>1599.50019168915</v>
      </c>
      <c r="C26" s="37" t="n">
        <f aca="false">C25*(1-Parámetros!$B$15-Parámetros!$B$16)+Parámetros!$B$15*Parámetros!$B$5</f>
        <v>720.236417191276</v>
      </c>
      <c r="D26" s="37" t="n">
        <f aca="false">D25*(1-Parámetros!$B$17-Parámetros!$B$18)+Parámetros!$B$17*Parámetros!$B$5</f>
        <v>2608.67675024157</v>
      </c>
      <c r="E26" s="38" t="n">
        <f aca="false">B26*Parámetros!$B$8</f>
        <v>31990.003833783</v>
      </c>
      <c r="F26" s="38" t="n">
        <f aca="false">C26*Parámetros!$B$8</f>
        <v>14404.7283438255</v>
      </c>
      <c r="G26" s="38" t="n">
        <f aca="false">D26*Parámetros!$B$8</f>
        <v>52173.5350048315</v>
      </c>
      <c r="H26" s="38" t="n">
        <f aca="false">Parámetros!$B$14</f>
        <v>1613.33333333333</v>
      </c>
    </row>
    <row r="27" customFormat="false" ht="15" hidden="false" customHeight="true" outlineLevel="0" collapsed="false">
      <c r="A27" s="39" t="s">
        <v>87</v>
      </c>
      <c r="B27" s="40" t="n">
        <f aca="false">B26*(1-Parámetros!$B$6-Parámetros!$B$7)+Parámetros!$B$6*Parámetros!$B$5</f>
        <v>1621.54017635402</v>
      </c>
      <c r="C27" s="40" t="n">
        <f aca="false">C26*(1-Parámetros!$B$15-Parámetros!$B$16)+Parámetros!$B$15*Parámetros!$B$5</f>
        <v>725.248519962705</v>
      </c>
      <c r="D27" s="40" t="n">
        <f aca="false">D26*(1-Parámetros!$B$17-Parámetros!$B$18)+Parámetros!$B$17*Parámetros!$B$5</f>
        <v>2651.06937772466</v>
      </c>
      <c r="E27" s="41" t="n">
        <f aca="false">B27*Parámetros!$B$8</f>
        <v>32430.8035270804</v>
      </c>
      <c r="F27" s="41" t="n">
        <f aca="false">C27*Parámetros!$B$8</f>
        <v>14504.9703992541</v>
      </c>
      <c r="G27" s="41" t="n">
        <f aca="false">D27*Parámetros!$B$8</f>
        <v>53021.3875544933</v>
      </c>
      <c r="H27" s="41" t="n">
        <f aca="false">Parámetros!$B$14</f>
        <v>1613.33333333333</v>
      </c>
    </row>
    <row r="28" customFormat="false" ht="15" hidden="false" customHeight="true" outlineLevel="0" collapsed="false">
      <c r="A28" s="36" t="s">
        <v>88</v>
      </c>
      <c r="B28" s="37" t="n">
        <f aca="false">B27*(1-Parámetros!$B$6-Parámetros!$B$7)+Parámetros!$B$6*Parámetros!$B$5</f>
        <v>1641.8169622457</v>
      </c>
      <c r="C28" s="37" t="n">
        <f aca="false">C27*(1-Parámetros!$B$15-Parámetros!$B$16)+Parámetros!$B$15*Parámetros!$B$5</f>
        <v>729.669194607106</v>
      </c>
      <c r="D28" s="37" t="n">
        <f aca="false">D27*(1-Parámetros!$B$17-Parámetros!$B$18)+Parámetros!$B$17*Parámetros!$B$5</f>
        <v>2690.49452128394</v>
      </c>
      <c r="E28" s="38" t="n">
        <f aca="false">B28*Parámetros!$B$8</f>
        <v>32836.3392449139</v>
      </c>
      <c r="F28" s="38" t="n">
        <f aca="false">C28*Parámetros!$B$8</f>
        <v>14593.3838921421</v>
      </c>
      <c r="G28" s="38" t="n">
        <f aca="false">D28*Parámetros!$B$8</f>
        <v>53809.8904256787</v>
      </c>
      <c r="H28" s="38" t="n">
        <f aca="false">Parámetros!$B$14</f>
        <v>1613.33333333333</v>
      </c>
    </row>
    <row r="29" customFormat="false" ht="15" hidden="false" customHeight="true" outlineLevel="0" collapsed="false">
      <c r="A29" s="39" t="s">
        <v>89</v>
      </c>
      <c r="B29" s="40" t="n">
        <f aca="false">B28*(1-Parámetros!$B$6-Parámetros!$B$7)+Parámetros!$B$6*Parámetros!$B$5</f>
        <v>1660.47160526604</v>
      </c>
      <c r="C29" s="40" t="n">
        <f aca="false">C28*(1-Parámetros!$B$15-Parámetros!$B$16)+Parámetros!$B$15*Parámetros!$B$5</f>
        <v>733.568229643468</v>
      </c>
      <c r="D29" s="40" t="n">
        <f aca="false">D28*(1-Parámetros!$B$17-Parámetros!$B$18)+Parámetros!$B$17*Parámetros!$B$5</f>
        <v>2727.15990479406</v>
      </c>
      <c r="E29" s="41" t="n">
        <f aca="false">B29*Parámetros!$B$8</f>
        <v>33209.4321053208</v>
      </c>
      <c r="F29" s="41" t="n">
        <f aca="false">C29*Parámetros!$B$8</f>
        <v>14671.3645928694</v>
      </c>
      <c r="G29" s="41" t="n">
        <f aca="false">D29*Parámetros!$B$8</f>
        <v>54543.1980958812</v>
      </c>
      <c r="H29" s="41" t="n">
        <f aca="false">Parámetros!$B$14</f>
        <v>1613.33333333333</v>
      </c>
    </row>
    <row r="30" customFormat="false" ht="15" hidden="false" customHeight="true" outlineLevel="0" collapsed="false">
      <c r="A30" s="36" t="s">
        <v>90</v>
      </c>
      <c r="B30" s="37" t="n">
        <f aca="false">B29*(1-Parámetros!$B$6-Parámetros!$B$7)+Parámetros!$B$6*Parámetros!$B$5</f>
        <v>1677.63387684476</v>
      </c>
      <c r="C30" s="37" t="n">
        <f aca="false">C29*(1-Parámetros!$B$15-Parámetros!$B$16)+Parámetros!$B$15*Parámetros!$B$5</f>
        <v>737.007178545538</v>
      </c>
      <c r="D30" s="37" t="n">
        <f aca="false">D29*(1-Parámetros!$B$17-Parámetros!$B$18)+Parámetros!$B$17*Parámetros!$B$5</f>
        <v>2761.25871145848</v>
      </c>
      <c r="E30" s="38" t="n">
        <f aca="false">B30*Parámetros!$B$8</f>
        <v>33552.6775368951</v>
      </c>
      <c r="F30" s="38" t="n">
        <f aca="false">C30*Parámetros!$B$8</f>
        <v>14740.1435709108</v>
      </c>
      <c r="G30" s="38" t="n">
        <f aca="false">D30*Parámetros!$B$8</f>
        <v>55225.1742291695</v>
      </c>
      <c r="H30" s="38" t="n">
        <f aca="false">Parámetros!$B$14</f>
        <v>1613.33333333333</v>
      </c>
    </row>
    <row r="31" customFormat="false" ht="15" hidden="false" customHeight="true" outlineLevel="0" collapsed="false">
      <c r="A31" s="39" t="s">
        <v>91</v>
      </c>
      <c r="B31" s="40" t="n">
        <f aca="false">B30*(1-Parámetros!$B$6-Parámetros!$B$7)+Parámetros!$B$6*Parámetros!$B$5</f>
        <v>1693.42316669718</v>
      </c>
      <c r="C31" s="40" t="n">
        <f aca="false">C30*(1-Parámetros!$B$15-Parámetros!$B$16)+Parámetros!$B$15*Parámetros!$B$5</f>
        <v>740.040331477165</v>
      </c>
      <c r="D31" s="40" t="n">
        <f aca="false">D30*(1-Parámetros!$B$17-Parámetros!$B$18)+Parámetros!$B$17*Parámetros!$B$5</f>
        <v>2792.97060165638</v>
      </c>
      <c r="E31" s="41" t="n">
        <f aca="false">B31*Parámetros!$B$8</f>
        <v>33868.4633339435</v>
      </c>
      <c r="F31" s="41" t="n">
        <f aca="false">C31*Parámetros!$B$8</f>
        <v>14800.8066295433</v>
      </c>
      <c r="G31" s="41" t="n">
        <f aca="false">D31*Parámetros!$B$8</f>
        <v>55859.4120331277</v>
      </c>
      <c r="H31" s="41" t="n">
        <f aca="false">Parámetros!$B$14</f>
        <v>1613.33333333333</v>
      </c>
    </row>
    <row r="32" customFormat="false" ht="15" hidden="false" customHeight="true" outlineLevel="0" collapsed="false">
      <c r="A32" s="36" t="s">
        <v>92</v>
      </c>
      <c r="B32" s="37" t="n">
        <f aca="false">B31*(1-Parámetros!$B$6-Parámetros!$B$7)+Parámetros!$B$6*Parámetros!$B$5</f>
        <v>1707.9493133614</v>
      </c>
      <c r="C32" s="37" t="n">
        <f aca="false">C31*(1-Parámetros!$B$15-Parámetros!$B$16)+Parámetros!$B$15*Parámetros!$B$5</f>
        <v>742.715572362859</v>
      </c>
      <c r="D32" s="37" t="n">
        <f aca="false">D31*(1-Parámetros!$B$17-Parámetros!$B$18)+Parámetros!$B$17*Parámetros!$B$5</f>
        <v>2822.46265954044</v>
      </c>
      <c r="E32" s="38" t="n">
        <f aca="false">B32*Parámetros!$B$8</f>
        <v>34158.986267228</v>
      </c>
      <c r="F32" s="38" t="n">
        <f aca="false">C32*Parámetros!$B$8</f>
        <v>14854.3114472572</v>
      </c>
      <c r="G32" s="38" t="n">
        <f aca="false">D32*Parámetros!$B$8</f>
        <v>56449.2531908087</v>
      </c>
      <c r="H32" s="38" t="n">
        <f aca="false">Parámetros!$B$14</f>
        <v>1613.33333333333</v>
      </c>
    </row>
    <row r="33" customFormat="false" ht="15" hidden="false" customHeight="true" outlineLevel="0" collapsed="false">
      <c r="A33" s="39" t="s">
        <v>93</v>
      </c>
      <c r="B33" s="40" t="n">
        <f aca="false">B32*(1-Parámetros!$B$6-Parámetros!$B$7)+Parámetros!$B$6*Parámetros!$B$5</f>
        <v>1721.31336829249</v>
      </c>
      <c r="C33" s="40" t="n">
        <f aca="false">C32*(1-Parámetros!$B$15-Parámetros!$B$16)+Parámetros!$B$15*Parámetros!$B$5</f>
        <v>745.075134824042</v>
      </c>
      <c r="D33" s="40" t="n">
        <f aca="false">D32*(1-Parámetros!$B$17-Parámetros!$B$18)+Parámetros!$B$17*Parámetros!$B$5</f>
        <v>2849.89027337261</v>
      </c>
      <c r="E33" s="41" t="n">
        <f aca="false">B33*Parámetros!$B$8</f>
        <v>34426.2673658498</v>
      </c>
      <c r="F33" s="41" t="n">
        <f aca="false">C33*Parámetros!$B$8</f>
        <v>14901.5026964808</v>
      </c>
      <c r="G33" s="41" t="n">
        <f aca="false">D33*Parámetros!$B$8</f>
        <v>56997.8054674521</v>
      </c>
      <c r="H33" s="41" t="n">
        <f aca="false">Parámetros!$B$14</f>
        <v>1613.33333333333</v>
      </c>
    </row>
    <row r="34" customFormat="false" ht="15" hidden="false" customHeight="true" outlineLevel="0" collapsed="false">
      <c r="A34" s="36" t="s">
        <v>94</v>
      </c>
      <c r="B34" s="37" t="n">
        <f aca="false">B33*(1-Parámetros!$B$6-Parámetros!$B$7)+Parámetros!$B$6*Parámetros!$B$5</f>
        <v>1733.60829882909</v>
      </c>
      <c r="C34" s="37" t="n">
        <f aca="false">C33*(1-Parámetros!$B$15-Parámetros!$B$16)+Parámetros!$B$15*Parámetros!$B$5</f>
        <v>747.156268914805</v>
      </c>
      <c r="D34" s="37" t="n">
        <f aca="false">D33*(1-Parámetros!$B$17-Parámetros!$B$18)+Parámetros!$B$17*Parámetros!$B$5</f>
        <v>2875.39795423652</v>
      </c>
      <c r="E34" s="38" t="n">
        <f aca="false">B34*Parámetros!$B$8</f>
        <v>34672.1659765818</v>
      </c>
      <c r="F34" s="38" t="n">
        <f aca="false">C34*Parámetros!$B$8</f>
        <v>14943.1253782961</v>
      </c>
      <c r="G34" s="38" t="n">
        <f aca="false">D34*Parámetros!$B$8</f>
        <v>57507.9590847305</v>
      </c>
      <c r="H34" s="38" t="n">
        <f aca="false">Parámetros!$B$14</f>
        <v>1613.33333333333</v>
      </c>
    </row>
    <row r="35" customFormat="false" ht="15" hidden="false" customHeight="true" outlineLevel="0" collapsed="false">
      <c r="A35" s="39" t="s">
        <v>95</v>
      </c>
      <c r="B35" s="40" t="n">
        <f aca="false">B34*(1-Parámetros!$B$6-Parámetros!$B$7)+Parámetros!$B$6*Parámetros!$B$5</f>
        <v>1744.91963492276</v>
      </c>
      <c r="C35" s="40" t="n">
        <f aca="false">C34*(1-Parámetros!$B$15-Parámetros!$B$16)+Parámetros!$B$15*Parámetros!$B$5</f>
        <v>748.991829182858</v>
      </c>
      <c r="D35" s="40" t="n">
        <f aca="false">D34*(1-Parámetros!$B$17-Parámetros!$B$18)+Parámetros!$B$17*Parámetros!$B$5</f>
        <v>2899.12009743997</v>
      </c>
      <c r="E35" s="41" t="n">
        <f aca="false">B35*Parámetros!$B$8</f>
        <v>34898.3926984553</v>
      </c>
      <c r="F35" s="41" t="n">
        <f aca="false">C35*Parámetros!$B$8</f>
        <v>14979.8365836572</v>
      </c>
      <c r="G35" s="41" t="n">
        <f aca="false">D35*Parámetros!$B$8</f>
        <v>57982.4019487993</v>
      </c>
      <c r="H35" s="41" t="n">
        <f aca="false">Parámetros!$B$14</f>
        <v>1613.33333333333</v>
      </c>
    </row>
    <row r="36" customFormat="false" ht="15" hidden="false" customHeight="true" outlineLevel="0" collapsed="false">
      <c r="A36" s="36" t="s">
        <v>96</v>
      </c>
      <c r="B36" s="37" t="n">
        <f aca="false">B35*(1-Parámetros!$B$6-Parámetros!$B$7)+Parámetros!$B$6*Parámetros!$B$5</f>
        <v>1755.32606412894</v>
      </c>
      <c r="C36" s="37" t="n">
        <f aca="false">C35*(1-Parámetros!$B$15-Parámetros!$B$16)+Parámetros!$B$15*Parámetros!$B$5</f>
        <v>750.610793339281</v>
      </c>
      <c r="D36" s="37" t="n">
        <f aca="false">D35*(1-Parámetros!$B$17-Parámetros!$B$18)+Parámetros!$B$17*Parámetros!$B$5</f>
        <v>2921.18169061917</v>
      </c>
      <c r="E36" s="38" t="n">
        <f aca="false">B36*Parámetros!$B$8</f>
        <v>35106.5212825788</v>
      </c>
      <c r="F36" s="38" t="n">
        <f aca="false">C36*Parámetros!$B$8</f>
        <v>15012.2158667856</v>
      </c>
      <c r="G36" s="38" t="n">
        <f aca="false">D36*Parámetros!$B$8</f>
        <v>58423.6338123834</v>
      </c>
      <c r="H36" s="38" t="n">
        <f aca="false">Parámetros!$B$14</f>
        <v>1613.33333333333</v>
      </c>
    </row>
    <row r="37" customFormat="false" ht="15" hidden="false" customHeight="true" outlineLevel="0" collapsed="false">
      <c r="A37" s="39" t="s">
        <v>97</v>
      </c>
      <c r="B37" s="40" t="n">
        <f aca="false">B36*(1-Parámetros!$B$6-Parámetros!$B$7)+Parámetros!$B$6*Parámetros!$B$5</f>
        <v>1764.89997899863</v>
      </c>
      <c r="C37" s="40" t="n">
        <f aca="false">C36*(1-Parámetros!$B$15-Parámetros!$B$16)+Parámetros!$B$15*Parámetros!$B$5</f>
        <v>752.038719725246</v>
      </c>
      <c r="D37" s="40" t="n">
        <f aca="false">D36*(1-Parámetros!$B$17-Parámetros!$B$18)+Parámetros!$B$17*Parámetros!$B$5</f>
        <v>2941.69897227583</v>
      </c>
      <c r="E37" s="41" t="n">
        <f aca="false">B37*Parámetros!$B$8</f>
        <v>35297.9995799725</v>
      </c>
      <c r="F37" s="41" t="n">
        <f aca="false">C37*Parámetros!$B$8</f>
        <v>15040.7743945049</v>
      </c>
      <c r="G37" s="41" t="n">
        <f aca="false">D37*Parámetros!$B$8</f>
        <v>58833.9794455165</v>
      </c>
      <c r="H37" s="41" t="n">
        <f aca="false">Parámetros!$B$14</f>
        <v>1613.33333333333</v>
      </c>
    </row>
    <row r="38" customFormat="false" ht="15" hidden="false" customHeight="true" outlineLevel="0" collapsed="false">
      <c r="A38" s="36" t="s">
        <v>98</v>
      </c>
      <c r="B38" s="37" t="n">
        <f aca="false">B37*(1-Parámetros!$B$6-Parámetros!$B$7)+Parámetros!$B$6*Parámetros!$B$5</f>
        <v>1773.70798067874</v>
      </c>
      <c r="C38" s="37" t="n">
        <f aca="false">C37*(1-Parámetros!$B$15-Parámetros!$B$16)+Parámetros!$B$15*Parámetros!$B$5</f>
        <v>753.298150797667</v>
      </c>
      <c r="D38" s="37" t="n">
        <f aca="false">D37*(1-Parámetros!$B$17-Parámetros!$B$18)+Parámetros!$B$17*Parámetros!$B$5</f>
        <v>2960.78004421652</v>
      </c>
      <c r="E38" s="38" t="n">
        <f aca="false">B38*Parámetros!$B$8</f>
        <v>35474.1596135747</v>
      </c>
      <c r="F38" s="38" t="n">
        <f aca="false">C38*Parámetros!$B$8</f>
        <v>15065.9630159533</v>
      </c>
      <c r="G38" s="38" t="n">
        <f aca="false">D38*Parámetros!$B$8</f>
        <v>59215.6008843304</v>
      </c>
      <c r="H38" s="38" t="n">
        <f aca="false">Parámetros!$B$14</f>
        <v>1613.33333333333</v>
      </c>
    </row>
    <row r="39" customFormat="false" ht="15" hidden="false" customHeight="true" outlineLevel="0" collapsed="false">
      <c r="A39" s="39" t="s">
        <v>99</v>
      </c>
      <c r="B39" s="40" t="n">
        <f aca="false">B38*(1-Parámetros!$B$6-Parámetros!$B$7)+Parámetros!$B$6*Parámetros!$B$5</f>
        <v>1781.81134222444</v>
      </c>
      <c r="C39" s="40" t="n">
        <f aca="false">C38*(1-Parámetros!$B$15-Parámetros!$B$16)+Parámetros!$B$15*Parámetros!$B$5</f>
        <v>754.408969003542</v>
      </c>
      <c r="D39" s="40" t="n">
        <f aca="false">D38*(1-Parámetros!$B$17-Parámetros!$B$18)+Parámetros!$B$17*Parámetros!$B$5</f>
        <v>2978.52544112136</v>
      </c>
      <c r="E39" s="41" t="n">
        <f aca="false">B39*Parámetros!$B$8</f>
        <v>35636.2268444887</v>
      </c>
      <c r="F39" s="41" t="n">
        <f aca="false">C39*Parámetros!$B$8</f>
        <v>15088.1793800708</v>
      </c>
      <c r="G39" s="41" t="n">
        <f aca="false">D39*Parámetros!$B$8</f>
        <v>59570.5088224272</v>
      </c>
      <c r="H39" s="41" t="n">
        <f aca="false">Parámetros!$B$14</f>
        <v>1613.33333333333</v>
      </c>
    </row>
    <row r="40" customFormat="false" ht="15" hidden="false" customHeight="true" outlineLevel="0" collapsed="false">
      <c r="A40" s="36" t="s">
        <v>100</v>
      </c>
      <c r="B40" s="37" t="n">
        <f aca="false">B39*(1-Parámetros!$B$6-Parámetros!$B$7)+Parámetros!$B$6*Parámetros!$B$5</f>
        <v>1789.26643484648</v>
      </c>
      <c r="C40" s="37" t="n">
        <f aca="false">C39*(1-Parámetros!$B$15-Parámetros!$B$16)+Parámetros!$B$15*Parámetros!$B$5</f>
        <v>755.388710661124</v>
      </c>
      <c r="D40" s="37" t="n">
        <f aca="false">D39*(1-Parámetros!$B$17-Parámetros!$B$18)+Parámetros!$B$17*Parámetros!$B$5</f>
        <v>2995.02866024287</v>
      </c>
      <c r="E40" s="38" t="n">
        <f aca="false">B40*Parámetros!$B$8</f>
        <v>35785.3286969296</v>
      </c>
      <c r="F40" s="38" t="n">
        <f aca="false">C40*Parámetros!$B$8</f>
        <v>15107.7742132225</v>
      </c>
      <c r="G40" s="38" t="n">
        <f aca="false">D40*Parámetros!$B$8</f>
        <v>59900.5732048573</v>
      </c>
      <c r="H40" s="38" t="n">
        <f aca="false">Parámetros!$B$14</f>
        <v>1613.33333333333</v>
      </c>
    </row>
    <row r="41" customFormat="false" ht="15" hidden="false" customHeight="true" outlineLevel="0" collapsed="false">
      <c r="A41" s="39" t="s">
        <v>101</v>
      </c>
      <c r="B41" s="40" t="n">
        <f aca="false">B40*(1-Parámetros!$B$6-Parámetros!$B$7)+Parámetros!$B$6*Parámetros!$B$5</f>
        <v>1796.12512005876</v>
      </c>
      <c r="C41" s="40" t="n">
        <f aca="false">C40*(1-Parámetros!$B$15-Parámetros!$B$16)+Parámetros!$B$15*Parámetros!$B$5</f>
        <v>756.252842803111</v>
      </c>
      <c r="D41" s="40" t="n">
        <f aca="false">D40*(1-Parámetros!$B$17-Parámetros!$B$18)+Parámetros!$B$17*Parámetros!$B$5</f>
        <v>3010.37665402587</v>
      </c>
      <c r="E41" s="41" t="n">
        <f aca="false">B41*Parámetros!$B$8</f>
        <v>35922.5024011753</v>
      </c>
      <c r="F41" s="41" t="n">
        <f aca="false">C41*Parámetros!$B$8</f>
        <v>15125.0568560622</v>
      </c>
      <c r="G41" s="41" t="n">
        <f aca="false">D41*Parámetros!$B$8</f>
        <v>60207.5330805173</v>
      </c>
      <c r="H41" s="41" t="n">
        <f aca="false">Parámetros!$B$14</f>
        <v>1613.33333333333</v>
      </c>
    </row>
    <row r="42" customFormat="false" ht="15" hidden="false" customHeight="true" outlineLevel="0" collapsed="false">
      <c r="A42" s="36" t="s">
        <v>102</v>
      </c>
      <c r="B42" s="37" t="n">
        <f aca="false">B41*(1-Parámetros!$B$6-Parámetros!$B$7)+Parámetros!$B$6*Parámetros!$B$5</f>
        <v>1802.43511045406</v>
      </c>
      <c r="C42" s="37" t="n">
        <f aca="false">C41*(1-Parámetros!$B$15-Parámetros!$B$16)+Parámetros!$B$15*Parámetros!$B$5</f>
        <v>757.015007352344</v>
      </c>
      <c r="D42" s="37" t="n">
        <f aca="false">D41*(1-Parámetros!$B$17-Parámetros!$B$18)+Parámetros!$B$17*Parámetros!$B$5</f>
        <v>3024.65028824405</v>
      </c>
      <c r="E42" s="38" t="n">
        <f aca="false">B42*Parámetros!$B$8</f>
        <v>36048.7022090812</v>
      </c>
      <c r="F42" s="38" t="n">
        <f aca="false">C42*Parámetros!$B$8</f>
        <v>15140.3001470469</v>
      </c>
      <c r="G42" s="38" t="n">
        <f aca="false">D42*Parámetros!$B$8</f>
        <v>60493.0057648811</v>
      </c>
      <c r="H42" s="38" t="n">
        <f aca="false">Parámetros!$B$14</f>
        <v>1613.33333333333</v>
      </c>
    </row>
    <row r="43" customFormat="false" ht="15" hidden="false" customHeight="true" outlineLevel="0" collapsed="false">
      <c r="A43" s="39" t="s">
        <v>103</v>
      </c>
      <c r="B43" s="40" t="n">
        <f aca="false">B42*(1-Parámetros!$B$6-Parámetros!$B$7)+Parámetros!$B$6*Parámetros!$B$5</f>
        <v>1808.24030161774</v>
      </c>
      <c r="C43" s="40" t="n">
        <f aca="false">C42*(1-Parámetros!$B$15-Parámetros!$B$16)+Parámetros!$B$15*Parámetros!$B$5</f>
        <v>757.687236484768</v>
      </c>
      <c r="D43" s="40" t="n">
        <f aca="false">D42*(1-Parámetros!$B$17-Parámetros!$B$18)+Parámetros!$B$17*Parámetros!$B$5</f>
        <v>3037.92476806697</v>
      </c>
      <c r="E43" s="41" t="n">
        <f aca="false">B43*Parámetros!$B$8</f>
        <v>36164.8060323548</v>
      </c>
      <c r="F43" s="41" t="n">
        <f aca="false">C43*Parámetros!$B$8</f>
        <v>15153.7447296954</v>
      </c>
      <c r="G43" s="41" t="n">
        <f aca="false">D43*Parámetros!$B$8</f>
        <v>60758.4953613394</v>
      </c>
      <c r="H43" s="41" t="n">
        <f aca="false">Parámetros!$B$14</f>
        <v>1613.33333333333</v>
      </c>
    </row>
    <row r="44" customFormat="false" ht="15" hidden="false" customHeight="true" outlineLevel="0" collapsed="false">
      <c r="A44" s="36" t="s">
        <v>104</v>
      </c>
      <c r="B44" s="37" t="n">
        <f aca="false">B43*(1-Parámetros!$B$6-Parámetros!$B$7)+Parámetros!$B$6*Parámetros!$B$5</f>
        <v>1813.58107748832</v>
      </c>
      <c r="C44" s="37" t="n">
        <f aca="false">C43*(1-Parámetros!$B$15-Parámetros!$B$16)+Parámetros!$B$15*Parámetros!$B$5</f>
        <v>758.280142579565</v>
      </c>
      <c r="D44" s="37" t="n">
        <f aca="false">D43*(1-Parámetros!$B$17-Parámetros!$B$18)+Parámetros!$B$17*Parámetros!$B$5</f>
        <v>3050.27003430228</v>
      </c>
      <c r="E44" s="38" t="n">
        <f aca="false">B44*Parámetros!$B$8</f>
        <v>36271.6215497664</v>
      </c>
      <c r="F44" s="38" t="n">
        <f aca="false">C44*Parámetros!$B$8</f>
        <v>15165.6028515913</v>
      </c>
      <c r="G44" s="38" t="n">
        <f aca="false">D44*Parámetros!$B$8</f>
        <v>61005.4006860457</v>
      </c>
      <c r="H44" s="38" t="n">
        <f aca="false">Parámetros!$B$14</f>
        <v>1613.33333333333</v>
      </c>
    </row>
    <row r="45" customFormat="false" ht="15" hidden="false" customHeight="true" outlineLevel="0" collapsed="false">
      <c r="A45" s="39" t="s">
        <v>105</v>
      </c>
      <c r="B45" s="40" t="n">
        <f aca="false">B44*(1-Parámetros!$B$6-Parámetros!$B$7)+Parámetros!$B$6*Parámetros!$B$5</f>
        <v>1818.49459128925</v>
      </c>
      <c r="C45" s="40" t="n">
        <f aca="false">C44*(1-Parámetros!$B$15-Parámetros!$B$16)+Parámetros!$B$15*Parámetros!$B$5</f>
        <v>758.803085755176</v>
      </c>
      <c r="D45" s="40" t="n">
        <f aca="false">D44*(1-Parámetros!$B$17-Parámetros!$B$18)+Parámetros!$B$17*Parámetros!$B$5</f>
        <v>3061.75113190112</v>
      </c>
      <c r="E45" s="41" t="n">
        <f aca="false">B45*Parámetros!$B$8</f>
        <v>36369.8918257851</v>
      </c>
      <c r="F45" s="41" t="n">
        <f aca="false">C45*Parámetros!$B$8</f>
        <v>15176.0617151035</v>
      </c>
      <c r="G45" s="41" t="n">
        <f aca="false">D45*Parámetros!$B$8</f>
        <v>61235.0226380225</v>
      </c>
      <c r="H45" s="41" t="n">
        <f aca="false">Parámetros!$B$14</f>
        <v>1613.33333333333</v>
      </c>
    </row>
    <row r="46" customFormat="false" ht="15" hidden="false" customHeight="true" outlineLevel="0" collapsed="false">
      <c r="A46" s="36" t="s">
        <v>106</v>
      </c>
      <c r="B46" s="37" t="n">
        <f aca="false">B45*(1-Parámetros!$B$6-Parámetros!$B$7)+Parámetros!$B$6*Parámetros!$B$5</f>
        <v>1823.01502398611</v>
      </c>
      <c r="C46" s="37" t="n">
        <f aca="false">C45*(1-Parámetros!$B$15-Parámetros!$B$16)+Parámetros!$B$15*Parámetros!$B$5</f>
        <v>759.264321636066</v>
      </c>
      <c r="D46" s="37" t="n">
        <f aca="false">D45*(1-Parámetros!$B$17-Parámetros!$B$18)+Parámetros!$B$17*Parámetros!$B$5</f>
        <v>3072.42855266804</v>
      </c>
      <c r="E46" s="38" t="n">
        <f aca="false">B46*Parámetros!$B$8</f>
        <v>36460.3004797222</v>
      </c>
      <c r="F46" s="38" t="n">
        <f aca="false">C46*Parámetros!$B$8</f>
        <v>15185.2864327213</v>
      </c>
      <c r="G46" s="38" t="n">
        <f aca="false">D46*Parámetros!$B$8</f>
        <v>61448.5710533609</v>
      </c>
      <c r="H46" s="38" t="n">
        <f aca="false">Parámetros!$B$14</f>
        <v>1613.33333333333</v>
      </c>
    </row>
    <row r="47" customFormat="false" ht="15" hidden="false" customHeight="true" outlineLevel="0" collapsed="false">
      <c r="A47" s="39" t="s">
        <v>107</v>
      </c>
      <c r="B47" s="40" t="n">
        <f aca="false">B46*(1-Parámetros!$B$6-Parámetros!$B$7)+Parámetros!$B$6*Parámetros!$B$5</f>
        <v>1827.17382206722</v>
      </c>
      <c r="C47" s="40" t="n">
        <f aca="false">C46*(1-Parámetros!$B$15-Parámetros!$B$16)+Parámetros!$B$15*Parámetros!$B$5</f>
        <v>759.67113168301</v>
      </c>
      <c r="D47" s="40" t="n">
        <f aca="false">D46*(1-Parámetros!$B$17-Parámetros!$B$18)+Parámetros!$B$17*Parámetros!$B$5</f>
        <v>3082.35855398128</v>
      </c>
      <c r="E47" s="41" t="n">
        <f aca="false">B47*Parámetros!$B$8</f>
        <v>36543.4764413445</v>
      </c>
      <c r="F47" s="41" t="n">
        <f aca="false">C47*Parámetros!$B$8</f>
        <v>15193.4226336602</v>
      </c>
      <c r="G47" s="41" t="n">
        <f aca="false">D47*Parámetros!$B$8</f>
        <v>61647.1710796256</v>
      </c>
      <c r="H47" s="41" t="n">
        <f aca="false">Parámetros!$B$14</f>
        <v>1613.33333333333</v>
      </c>
    </row>
    <row r="48" customFormat="false" ht="15" hidden="false" customHeight="true" outlineLevel="0" collapsed="false">
      <c r="A48" s="36" t="s">
        <v>108</v>
      </c>
      <c r="B48" s="37" t="n">
        <f aca="false">B47*(1-Parámetros!$B$6-Parámetros!$B$7)+Parámetros!$B$6*Parámetros!$B$5</f>
        <v>1830.99991630185</v>
      </c>
      <c r="C48" s="37" t="n">
        <f aca="false">C47*(1-Parámetros!$B$15-Parámetros!$B$16)+Parámetros!$B$15*Parámetros!$B$5</f>
        <v>760.029938144415</v>
      </c>
      <c r="D48" s="37" t="n">
        <f aca="false">D47*(1-Parámetros!$B$17-Parámetros!$B$18)+Parámetros!$B$17*Parámetros!$B$5</f>
        <v>3091.59345520259</v>
      </c>
      <c r="E48" s="38" t="n">
        <f aca="false">B48*Parámetros!$B$8</f>
        <v>36619.9983260369</v>
      </c>
      <c r="F48" s="38" t="n">
        <f aca="false">C48*Parámetros!$B$8</f>
        <v>15200.5987628883</v>
      </c>
      <c r="G48" s="38" t="n">
        <f aca="false">D48*Parámetros!$B$8</f>
        <v>61831.8691040518</v>
      </c>
      <c r="H48" s="38" t="n">
        <f aca="false">Parámetros!$B$14</f>
        <v>1613.33333333333</v>
      </c>
    </row>
    <row r="49" customFormat="false" ht="15" hidden="false" customHeight="true" outlineLevel="0" collapsed="false">
      <c r="A49" s="39" t="s">
        <v>109</v>
      </c>
      <c r="B49" s="40" t="n">
        <f aca="false">B48*(1-Parámetros!$B$6-Parámetros!$B$7)+Parámetros!$B$6*Parámetros!$B$5</f>
        <v>1834.5199229977</v>
      </c>
      <c r="C49" s="40" t="n">
        <f aca="false">C48*(1-Parámetros!$B$15-Parámetros!$B$16)+Parámetros!$B$15*Parámetros!$B$5</f>
        <v>760.346405443374</v>
      </c>
      <c r="D49" s="40" t="n">
        <f aca="false">D48*(1-Parámetros!$B$17-Parámetros!$B$18)+Parámetros!$B$17*Parámetros!$B$5</f>
        <v>3100.18191333841</v>
      </c>
      <c r="E49" s="41" t="n">
        <f aca="false">B49*Parámetros!$B$8</f>
        <v>36690.398459954</v>
      </c>
      <c r="F49" s="41" t="n">
        <f aca="false">C49*Parámetros!$B$8</f>
        <v>15206.9281088675</v>
      </c>
      <c r="G49" s="41" t="n">
        <f aca="false">D49*Parámetros!$B$8</f>
        <v>62003.6382667682</v>
      </c>
      <c r="H49" s="41" t="n">
        <f aca="false">Parámetros!$B$14</f>
        <v>1613.33333333333</v>
      </c>
    </row>
    <row r="50" customFormat="false" ht="15" hidden="false" customHeight="true" outlineLevel="0" collapsed="false">
      <c r="A50" s="36" t="s">
        <v>110</v>
      </c>
      <c r="B50" s="37" t="n">
        <f aca="false">B49*(1-Parámetros!$B$6-Parámetros!$B$7)+Parámetros!$B$6*Parámetros!$B$5</f>
        <v>1837.75832915788</v>
      </c>
      <c r="C50" s="37" t="n">
        <f aca="false">C49*(1-Parámetros!$B$15-Parámetros!$B$16)+Parámetros!$B$15*Parámetros!$B$5</f>
        <v>760.625529601056</v>
      </c>
      <c r="D50" s="37" t="n">
        <f aca="false">D49*(1-Parámetros!$B$17-Parámetros!$B$18)+Parámetros!$B$17*Parámetros!$B$5</f>
        <v>3108.16917940472</v>
      </c>
      <c r="E50" s="38" t="n">
        <f aca="false">B50*Parámetros!$B$8</f>
        <v>36755.1665831576</v>
      </c>
      <c r="F50" s="38" t="n">
        <f aca="false">C50*Parámetros!$B$8</f>
        <v>15212.5105920211</v>
      </c>
      <c r="G50" s="38" t="n">
        <f aca="false">D50*Parámetros!$B$8</f>
        <v>62163.3835880944</v>
      </c>
      <c r="H50" s="38" t="n">
        <f aca="false">Parámetros!$B$14</f>
        <v>1613.33333333333</v>
      </c>
    </row>
    <row r="51" customFormat="false" ht="15" hidden="false" customHeight="true" outlineLevel="0" collapsed="false">
      <c r="A51" s="39" t="s">
        <v>111</v>
      </c>
      <c r="B51" s="40" t="n">
        <f aca="false">B50*(1-Parámetros!$B$6-Parámetros!$B$7)+Parámetros!$B$6*Parámetros!$B$5</f>
        <v>1840.73766282525</v>
      </c>
      <c r="C51" s="40" t="n">
        <f aca="false">C50*(1-Parámetros!$B$15-Parámetros!$B$16)+Parámetros!$B$15*Parámetros!$B$5</f>
        <v>760.871717108131</v>
      </c>
      <c r="D51" s="40" t="n">
        <f aca="false">D50*(1-Parámetros!$B$17-Parámetros!$B$18)+Parámetros!$B$17*Parámetros!$B$5</f>
        <v>3115.59733684639</v>
      </c>
      <c r="E51" s="41" t="n">
        <f aca="false">B51*Parámetros!$B$8</f>
        <v>36814.753256505</v>
      </c>
      <c r="F51" s="41" t="n">
        <f aca="false">C51*Parámetros!$B$8</f>
        <v>15217.4343421626</v>
      </c>
      <c r="G51" s="41" t="n">
        <f aca="false">D51*Parámetros!$B$8</f>
        <v>62311.9467369278</v>
      </c>
      <c r="H51" s="41" t="n">
        <f aca="false">Parámetros!$B$14</f>
        <v>1613.33333333333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2026-06-08T05:58:40Z</dcterms:created>
  <dc:creator>openpyxl</dc:creator>
  <dc:description/>
  <dc:language>en-US</dc:language>
  <cp:lastModifiedBy/>
  <dcterms:modified xsi:type="dcterms:W3CDTF">2026-06-08T05:58:50Z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